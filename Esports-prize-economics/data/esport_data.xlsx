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п игроков" sheetId="1" r:id="rId5"/>
    <sheet state="visible" name="Топ игр" sheetId="2" r:id="rId6"/>
    <sheet state="visible" name="Сводная таблица распределение и" sheetId="3" r:id="rId7"/>
    <sheet state="visible" name="Лист9" sheetId="4" r:id="rId8"/>
    <sheet state="visible" name="Лист10" sheetId="5" r:id="rId9"/>
    <sheet state="visible" name="Анализ топ игроков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<sst xmlns="http://schemas.openxmlformats.org/spreadsheetml/2006/main" count="2688" uniqueCount="1628">
  <si>
    <t xml:space="preserve"> </t>
  </si>
  <si>
    <t>Player ID</t>
  </si>
  <si>
    <t>Player Name</t>
  </si>
  <si>
    <t>Total (Overall) ($)</t>
  </si>
  <si>
    <t>Highest Paying Game</t>
  </si>
  <si>
    <t>Total (Game) ($)</t>
  </si>
  <si>
    <t>% of Total</t>
  </si>
  <si>
    <t>Country</t>
  </si>
  <si>
    <t>Number of Tournaments</t>
  </si>
  <si>
    <t>Income categories</t>
  </si>
  <si>
    <t>1.</t>
  </si>
  <si>
    <t>N0tail</t>
  </si>
  <si>
    <t>Johan Sundstein</t>
  </si>
  <si>
    <t>Dota 2</t>
  </si>
  <si>
    <t>Denmark</t>
  </si>
  <si>
    <t>2.</t>
  </si>
  <si>
    <t>JerAx</t>
  </si>
  <si>
    <t>Jesse Vainikka</t>
  </si>
  <si>
    <t>Finland</t>
  </si>
  <si>
    <t>3.</t>
  </si>
  <si>
    <t>Miposhka</t>
  </si>
  <si>
    <t>Yaroslav Naidenov</t>
  </si>
  <si>
    <t>Russia</t>
  </si>
  <si>
    <t>4.</t>
  </si>
  <si>
    <t>ana</t>
  </si>
  <si>
    <t>Anathan Pham</t>
  </si>
  <si>
    <t>Australia</t>
  </si>
  <si>
    <t>5.</t>
  </si>
  <si>
    <t>Ceb</t>
  </si>
  <si>
    <t>Sébastien Debs</t>
  </si>
  <si>
    <t>France</t>
  </si>
  <si>
    <t>6.</t>
  </si>
  <si>
    <t>Yatoro</t>
  </si>
  <si>
    <t>Ilya Mulyarchuk</t>
  </si>
  <si>
    <t>Ukraine</t>
  </si>
  <si>
    <t>7.</t>
  </si>
  <si>
    <t>Collapse</t>
  </si>
  <si>
    <t>Magomed Khalilov</t>
  </si>
  <si>
    <t>8.</t>
  </si>
  <si>
    <t>Topson</t>
  </si>
  <si>
    <t>Topias Taavitsainen</t>
  </si>
  <si>
    <t>9.</t>
  </si>
  <si>
    <t>Mira</t>
  </si>
  <si>
    <t>Miroslaw Kolpakov</t>
  </si>
  <si>
    <t>10.</t>
  </si>
  <si>
    <t>KuroKy</t>
  </si>
  <si>
    <t>Kuro Takhasomi</t>
  </si>
  <si>
    <t>Germany</t>
  </si>
  <si>
    <t>11.</t>
  </si>
  <si>
    <t>Miracle-</t>
  </si>
  <si>
    <t>Amer Al-Barkawi</t>
  </si>
  <si>
    <t>Jordan</t>
  </si>
  <si>
    <t>12.</t>
  </si>
  <si>
    <t>Matumbaman</t>
  </si>
  <si>
    <t>Lasse Urpalainen</t>
  </si>
  <si>
    <t>13.</t>
  </si>
  <si>
    <t>MinD_ContRoL</t>
  </si>
  <si>
    <t>Ivan Ivanov</t>
  </si>
  <si>
    <t xml:space="preserve">Bulgaria </t>
  </si>
  <si>
    <t>14.</t>
  </si>
  <si>
    <t>TORONTOTOKYO</t>
  </si>
  <si>
    <t>Alexander Khertek</t>
  </si>
  <si>
    <t>15.</t>
  </si>
  <si>
    <t>GH</t>
  </si>
  <si>
    <t>Maroun Merhej</t>
  </si>
  <si>
    <t>Lebanon</t>
  </si>
  <si>
    <t>16.</t>
  </si>
  <si>
    <t>Puppey</t>
  </si>
  <si>
    <t>Clement Ivanov</t>
  </si>
  <si>
    <t>Estonia</t>
  </si>
  <si>
    <t>17.</t>
  </si>
  <si>
    <t>Ame</t>
  </si>
  <si>
    <t>Wang, Chunyu</t>
  </si>
  <si>
    <t>China</t>
  </si>
  <si>
    <t>18.</t>
  </si>
  <si>
    <t>Zai</t>
  </si>
  <si>
    <t>Ludwig Wåhlberg</t>
  </si>
  <si>
    <t>Sweden</t>
  </si>
  <si>
    <t>19.</t>
  </si>
  <si>
    <t>SumaiL</t>
  </si>
  <si>
    <t>Sumail Hassan</t>
  </si>
  <si>
    <t>Pakistan</t>
  </si>
  <si>
    <t>20.</t>
  </si>
  <si>
    <t>y`</t>
  </si>
  <si>
    <t>Zhang, Yiping</t>
  </si>
  <si>
    <t>21.</t>
  </si>
  <si>
    <t>Faith_bian</t>
  </si>
  <si>
    <t>Zhang, Ruida</t>
  </si>
  <si>
    <t>22.</t>
  </si>
  <si>
    <t>Nisha</t>
  </si>
  <si>
    <t>Michał Jankowski</t>
  </si>
  <si>
    <t>Poland</t>
  </si>
  <si>
    <t>23.</t>
  </si>
  <si>
    <t>Bugha</t>
  </si>
  <si>
    <t>Kyle Giersdorf</t>
  </si>
  <si>
    <t>Fortnite</t>
  </si>
  <si>
    <t>USA</t>
  </si>
  <si>
    <t>24.</t>
  </si>
  <si>
    <t>Saksa</t>
  </si>
  <si>
    <t>Martin Sazdov</t>
  </si>
  <si>
    <t>North Macedonia</t>
  </si>
  <si>
    <t>25.</t>
  </si>
  <si>
    <t>33</t>
  </si>
  <si>
    <t>Neta Shapira</t>
  </si>
  <si>
    <t>Israel</t>
  </si>
  <si>
    <t>26.</t>
  </si>
  <si>
    <t>Cr1t</t>
  </si>
  <si>
    <t>Andreas Nielsen</t>
  </si>
  <si>
    <t>27.</t>
  </si>
  <si>
    <t>Somnus</t>
  </si>
  <si>
    <t>Lu, Yao</t>
  </si>
  <si>
    <t>28.</t>
  </si>
  <si>
    <t>Sneyking</t>
  </si>
  <si>
    <t>Wu, Jingjun</t>
  </si>
  <si>
    <t>29.</t>
  </si>
  <si>
    <t>fy</t>
  </si>
  <si>
    <t>Xu, Linsen</t>
  </si>
  <si>
    <t>30.</t>
  </si>
  <si>
    <t>UNiVeRsE</t>
  </si>
  <si>
    <t>Saahil Arora</t>
  </si>
  <si>
    <t>31.</t>
  </si>
  <si>
    <t>ppd</t>
  </si>
  <si>
    <t>Peter Dager</t>
  </si>
  <si>
    <t>32.</t>
  </si>
  <si>
    <t>Skiter</t>
  </si>
  <si>
    <t>Oliver Lepko</t>
  </si>
  <si>
    <t>Slovakia</t>
  </si>
  <si>
    <t>33.</t>
  </si>
  <si>
    <t>Fly</t>
  </si>
  <si>
    <t>Tal Aizik</t>
  </si>
  <si>
    <t>34.</t>
  </si>
  <si>
    <t>s4</t>
  </si>
  <si>
    <t>Gustav Magnusson</t>
  </si>
  <si>
    <t>35.</t>
  </si>
  <si>
    <t>Arteezy</t>
  </si>
  <si>
    <t>Artour Babaev</t>
  </si>
  <si>
    <t>Canada</t>
  </si>
  <si>
    <t>36.</t>
  </si>
  <si>
    <t>Fear</t>
  </si>
  <si>
    <t>Clinton Loomis</t>
  </si>
  <si>
    <t>37.</t>
  </si>
  <si>
    <t>KaKa</t>
  </si>
  <si>
    <t>Hu, Liangzhi</t>
  </si>
  <si>
    <t>38.</t>
  </si>
  <si>
    <t>XinQ</t>
  </si>
  <si>
    <t>Zhao, Zixing</t>
  </si>
  <si>
    <t>39.</t>
  </si>
  <si>
    <t>YapzOr</t>
  </si>
  <si>
    <t>Yazied Jaradat</t>
  </si>
  <si>
    <t>40.</t>
  </si>
  <si>
    <t>w33</t>
  </si>
  <si>
    <t>Aliwi Omar</t>
  </si>
  <si>
    <t>Romania</t>
  </si>
  <si>
    <t>41.</t>
  </si>
  <si>
    <t>dupreeh</t>
  </si>
  <si>
    <t>Peter Rasmussen</t>
  </si>
  <si>
    <t>Counter-Strike: Global Offensive</t>
  </si>
  <si>
    <t>42.</t>
  </si>
  <si>
    <t>RAMZES666</t>
  </si>
  <si>
    <t>Roman Kushnarev</t>
  </si>
  <si>
    <t>43.</t>
  </si>
  <si>
    <t>Aqua</t>
  </si>
  <si>
    <t>David Wang</t>
  </si>
  <si>
    <t>Austria</t>
  </si>
  <si>
    <t>44.</t>
  </si>
  <si>
    <t>Boxi</t>
  </si>
  <si>
    <t>Samuel Svahn</t>
  </si>
  <si>
    <t>45.</t>
  </si>
  <si>
    <t>iNsania</t>
  </si>
  <si>
    <t>Aydin Sarkohi</t>
  </si>
  <si>
    <t>46.</t>
  </si>
  <si>
    <t>miCKE</t>
  </si>
  <si>
    <t>Michael Vu</t>
  </si>
  <si>
    <t>47.</t>
  </si>
  <si>
    <t>apEX</t>
  </si>
  <si>
    <t>Dan Madesclaire</t>
  </si>
  <si>
    <t>48.</t>
  </si>
  <si>
    <t>Ace</t>
  </si>
  <si>
    <t>Marcus Hoelgaard</t>
  </si>
  <si>
    <t>49.</t>
  </si>
  <si>
    <t>xNova</t>
  </si>
  <si>
    <t>Yap, Jian Wei</t>
  </si>
  <si>
    <t>Malaysia</t>
  </si>
  <si>
    <t>50.</t>
  </si>
  <si>
    <t>dev1ce</t>
  </si>
  <si>
    <t>Nicolai Reedtz</t>
  </si>
  <si>
    <t>51.</t>
  </si>
  <si>
    <t>karrigan</t>
  </si>
  <si>
    <t>Finn Andersen</t>
  </si>
  <si>
    <t>52.</t>
  </si>
  <si>
    <t>Aui_2000</t>
  </si>
  <si>
    <t>Kurtis Ling</t>
  </si>
  <si>
    <t>53.</t>
  </si>
  <si>
    <t>ropz</t>
  </si>
  <si>
    <t>Robin Kool</t>
  </si>
  <si>
    <t>54.</t>
  </si>
  <si>
    <t>Noone</t>
  </si>
  <si>
    <t>Vladimir Minenko</t>
  </si>
  <si>
    <t>55.</t>
  </si>
  <si>
    <t>Resolut1on</t>
  </si>
  <si>
    <t>Roman Fominok</t>
  </si>
  <si>
    <t>56.</t>
  </si>
  <si>
    <t>Nine</t>
  </si>
  <si>
    <t>Leon Kirilin</t>
  </si>
  <si>
    <t>57.</t>
  </si>
  <si>
    <t>Solo</t>
  </si>
  <si>
    <t>Aleksey Berezin</t>
  </si>
  <si>
    <t>58.</t>
  </si>
  <si>
    <t>Larl</t>
  </si>
  <si>
    <t>Denis Sigitov</t>
  </si>
  <si>
    <t>59.</t>
  </si>
  <si>
    <t>Magisk</t>
  </si>
  <si>
    <t>Emil Reif</t>
  </si>
  <si>
    <t>60.</t>
  </si>
  <si>
    <t>Chalice</t>
  </si>
  <si>
    <t>Yang, Shenyi</t>
  </si>
  <si>
    <t>61.</t>
  </si>
  <si>
    <t>Quinn</t>
  </si>
  <si>
    <t>Quinn Callahan</t>
  </si>
  <si>
    <t>62.</t>
  </si>
  <si>
    <t>iceice</t>
  </si>
  <si>
    <t>Li, Peng</t>
  </si>
  <si>
    <t>63.</t>
  </si>
  <si>
    <t>aBeZy</t>
  </si>
  <si>
    <t>Tyler Pharris</t>
  </si>
  <si>
    <t>Call of Duty: Black Ops Cold War</t>
  </si>
  <si>
    <t>64.</t>
  </si>
  <si>
    <t>Xyp9x</t>
  </si>
  <si>
    <t>Andreas Højsleth</t>
  </si>
  <si>
    <t>65.</t>
  </si>
  <si>
    <t>Shadow</t>
  </si>
  <si>
    <t>Chu, Zeyu</t>
  </si>
  <si>
    <t>66.</t>
  </si>
  <si>
    <t>Yinuo</t>
  </si>
  <si>
    <t>Xu, Bicheng</t>
  </si>
  <si>
    <t>Arena of Valor</t>
  </si>
  <si>
    <t>67.</t>
  </si>
  <si>
    <t>NothingToSay</t>
  </si>
  <si>
    <t>Cheng, Jin Xiang</t>
  </si>
  <si>
    <t>68.</t>
  </si>
  <si>
    <t>gla1ve</t>
  </si>
  <si>
    <t>Lukas Rossander</t>
  </si>
  <si>
    <t>69.</t>
  </si>
  <si>
    <t>bLink</t>
  </si>
  <si>
    <t>Zhou, Yang</t>
  </si>
  <si>
    <t>70.</t>
  </si>
  <si>
    <t>psalm</t>
  </si>
  <si>
    <t>Harrison Chang</t>
  </si>
  <si>
    <t>71.</t>
  </si>
  <si>
    <t>Simp</t>
  </si>
  <si>
    <t>Christopher Lehr</t>
  </si>
  <si>
    <t>72.</t>
  </si>
  <si>
    <t>HuaHai</t>
  </si>
  <si>
    <t>Luo, Siyuan</t>
  </si>
  <si>
    <t>73.</t>
  </si>
  <si>
    <t>Faker</t>
  </si>
  <si>
    <t>Lee, Sang Hyeok</t>
  </si>
  <si>
    <t>League of Legends</t>
  </si>
  <si>
    <t>Korea, Republic of</t>
  </si>
  <si>
    <t>74.</t>
  </si>
  <si>
    <t>MidOne</t>
  </si>
  <si>
    <t>Zheng, Yeik Nai</t>
  </si>
  <si>
    <t>75.</t>
  </si>
  <si>
    <t>xiao8</t>
  </si>
  <si>
    <t>Zhang, Ning</t>
  </si>
  <si>
    <t>76.</t>
  </si>
  <si>
    <t>rain</t>
  </si>
  <si>
    <t>Håvard Nygaard</t>
  </si>
  <si>
    <t>Norway</t>
  </si>
  <si>
    <t>77.</t>
  </si>
  <si>
    <t>Serral</t>
  </si>
  <si>
    <t>Joona Sotala</t>
  </si>
  <si>
    <t>StarCraft II</t>
  </si>
  <si>
    <t>78.</t>
  </si>
  <si>
    <t>kpii</t>
  </si>
  <si>
    <t>Damien Chok</t>
  </si>
  <si>
    <t>79.</t>
  </si>
  <si>
    <t>EpikWhale</t>
  </si>
  <si>
    <t>Shane Cotton</t>
  </si>
  <si>
    <t>80.</t>
  </si>
  <si>
    <t>iceiceice</t>
  </si>
  <si>
    <t>Daryl Koh Pei Xiang</t>
  </si>
  <si>
    <t>Singapore</t>
  </si>
  <si>
    <t>81.</t>
  </si>
  <si>
    <t>Cellium</t>
  </si>
  <si>
    <t>McArthur Jovel</t>
  </si>
  <si>
    <t>82.</t>
  </si>
  <si>
    <t>Peng, Yunfei</t>
  </si>
  <si>
    <t>83.</t>
  </si>
  <si>
    <t>Twistzz</t>
  </si>
  <si>
    <t>Russel Van Dulken</t>
  </si>
  <si>
    <t>84.</t>
  </si>
  <si>
    <t>Faith</t>
  </si>
  <si>
    <t>Zeng, Hongda</t>
  </si>
  <si>
    <t>85.</t>
  </si>
  <si>
    <t>Super</t>
  </si>
  <si>
    <t>Xie, Junhao</t>
  </si>
  <si>
    <t>86.</t>
  </si>
  <si>
    <t>Hao</t>
  </si>
  <si>
    <t>Chen, Zhihao</t>
  </si>
  <si>
    <t>87.</t>
  </si>
  <si>
    <t>NiKo</t>
  </si>
  <si>
    <t>Nikola Kovač</t>
  </si>
  <si>
    <t>Bosnia and Herzegovina</t>
  </si>
  <si>
    <t>88.</t>
  </si>
  <si>
    <t>9pasha</t>
  </si>
  <si>
    <t>Pavel Khvastunov</t>
  </si>
  <si>
    <t>89.</t>
  </si>
  <si>
    <t>s1mple</t>
  </si>
  <si>
    <t>Oleksandr Kostyljev</t>
  </si>
  <si>
    <t>90.</t>
  </si>
  <si>
    <t>Cat</t>
  </si>
  <si>
    <t>Chen, Zhengzheng</t>
  </si>
  <si>
    <t>91.</t>
  </si>
  <si>
    <t>Pang</t>
  </si>
  <si>
    <t>Li, Daheng</t>
  </si>
  <si>
    <t>92.</t>
  </si>
  <si>
    <t>ZywOo</t>
  </si>
  <si>
    <t>Mathieu Herbaut</t>
  </si>
  <si>
    <t>Counter-Strike 2</t>
  </si>
  <si>
    <t>93.</t>
  </si>
  <si>
    <t>electroNic</t>
  </si>
  <si>
    <t>Denis Sharipov</t>
  </si>
  <si>
    <t>94.</t>
  </si>
  <si>
    <t>1dao</t>
  </si>
  <si>
    <t>Zhong, Letian</t>
  </si>
  <si>
    <t>95.</t>
  </si>
  <si>
    <t>Yu</t>
  </si>
  <si>
    <t>Cai, Youqi</t>
  </si>
  <si>
    <t>96.</t>
  </si>
  <si>
    <t>Anas</t>
  </si>
  <si>
    <t>Anas El-Abd</t>
  </si>
  <si>
    <t>97.</t>
  </si>
  <si>
    <t>MagnusCarlsen</t>
  </si>
  <si>
    <t>Magnus Carlsen</t>
  </si>
  <si>
    <t>chess24</t>
  </si>
  <si>
    <t>98.</t>
  </si>
  <si>
    <t>old eLeVeN</t>
  </si>
  <si>
    <t>Ren, Yangwei</t>
  </si>
  <si>
    <t>99.</t>
  </si>
  <si>
    <t>Kami</t>
  </si>
  <si>
    <t>Michał Kamiński</t>
  </si>
  <si>
    <t>100.</t>
  </si>
  <si>
    <t>QingRong</t>
  </si>
  <si>
    <t>Huang, Yaoqin</t>
  </si>
  <si>
    <t>101.</t>
  </si>
  <si>
    <t>Nyhrox</t>
  </si>
  <si>
    <t>Emil Bergquist Pedersen</t>
  </si>
  <si>
    <t>102.</t>
  </si>
  <si>
    <t>Xxs</t>
  </si>
  <si>
    <t>Lin Jing</t>
  </si>
  <si>
    <t>103.</t>
  </si>
  <si>
    <t>Monet</t>
  </si>
  <si>
    <t>Du, Peng</t>
  </si>
  <si>
    <t>104.</t>
  </si>
  <si>
    <t>LaNm</t>
  </si>
  <si>
    <t>Zhang, Zhicheng</t>
  </si>
  <si>
    <t>105.</t>
  </si>
  <si>
    <t>Ori</t>
  </si>
  <si>
    <t>Zeng, Jiaoyang</t>
  </si>
  <si>
    <t>106.</t>
  </si>
  <si>
    <t>Shotzzy</t>
  </si>
  <si>
    <t>Anthony Cuevas-Castro</t>
  </si>
  <si>
    <t>Call of Duty: Modern Warfare</t>
  </si>
  <si>
    <t>107.</t>
  </si>
  <si>
    <t>Alan</t>
  </si>
  <si>
    <t>Wang, Tianlong</t>
  </si>
  <si>
    <t>108.</t>
  </si>
  <si>
    <t>MiSeRy</t>
  </si>
  <si>
    <t>Rasmus Fillipsen</t>
  </si>
  <si>
    <t>109.</t>
  </si>
  <si>
    <t>B1t</t>
  </si>
  <si>
    <t>Valeriy Vakhovskiy</t>
  </si>
  <si>
    <t>110.</t>
  </si>
  <si>
    <t>dyrachYO</t>
  </si>
  <si>
    <t>Anton Shkredov</t>
  </si>
  <si>
    <t>111.</t>
  </si>
  <si>
    <t>Kakeru</t>
  </si>
  <si>
    <t>Unknown</t>
  </si>
  <si>
    <t>Street Fighter 6</t>
  </si>
  <si>
    <t>Japan</t>
  </si>
  <si>
    <t>112.</t>
  </si>
  <si>
    <t>Arcitys</t>
  </si>
  <si>
    <t>Alec Sanderson</t>
  </si>
  <si>
    <t>113.</t>
  </si>
  <si>
    <t>paraboy</t>
  </si>
  <si>
    <t>Zhu, Bocheng</t>
  </si>
  <si>
    <t>PLAYERUNKNOWN'S BATTLEGROUNDS Mobile</t>
  </si>
  <si>
    <t>114.</t>
  </si>
  <si>
    <t>tOfu</t>
  </si>
  <si>
    <t>Erik Engel</t>
  </si>
  <si>
    <t>German</t>
  </si>
  <si>
    <t>115.</t>
  </si>
  <si>
    <t>C6</t>
  </si>
  <si>
    <t>Ian Porter</t>
  </si>
  <si>
    <t>116.</t>
  </si>
  <si>
    <t>YiZ</t>
  </si>
  <si>
    <t>Liu, Tianhao</t>
  </si>
  <si>
    <t>117.</t>
  </si>
  <si>
    <t>FATA</t>
  </si>
  <si>
    <t>Adrian Trinks</t>
  </si>
  <si>
    <t>118.</t>
  </si>
  <si>
    <t>Fenrir</t>
  </si>
  <si>
    <t>Lu, Chao</t>
  </si>
  <si>
    <t>119.</t>
  </si>
  <si>
    <t>RodjER</t>
  </si>
  <si>
    <t>Vladimir Nikogosyan</t>
  </si>
  <si>
    <t>Armenia</t>
  </si>
  <si>
    <t>120.</t>
  </si>
  <si>
    <t>Fanfan</t>
  </si>
  <si>
    <t>Fan, Yang</t>
  </si>
  <si>
    <t>121.</t>
  </si>
  <si>
    <t>Mu</t>
  </si>
  <si>
    <t>Zhang, Pan</t>
  </si>
  <si>
    <t>122.</t>
  </si>
  <si>
    <t>Maru</t>
  </si>
  <si>
    <t>Cho, Sung Choo</t>
  </si>
  <si>
    <t>123.</t>
  </si>
  <si>
    <t>Seleri</t>
  </si>
  <si>
    <t>Melchior Hillenkamp</t>
  </si>
  <si>
    <t>Netherlands</t>
  </si>
  <si>
    <t>124.</t>
  </si>
  <si>
    <t>ZhongYi</t>
  </si>
  <si>
    <t>Chen, Jiahao</t>
  </si>
  <si>
    <t>125.</t>
  </si>
  <si>
    <t>Wolfiez</t>
  </si>
  <si>
    <t>Jaden Ashman</t>
  </si>
  <si>
    <t>United Kingdom</t>
  </si>
  <si>
    <t>126.</t>
  </si>
  <si>
    <t>Th0masHD</t>
  </si>
  <si>
    <t>Thomas Høxbro Davidsen</t>
  </si>
  <si>
    <t>127.</t>
  </si>
  <si>
    <t>DDC</t>
  </si>
  <si>
    <t>Liang, Fa Ming</t>
  </si>
  <si>
    <t>Macao</t>
  </si>
  <si>
    <t>128.</t>
  </si>
  <si>
    <t>ZiYang</t>
  </si>
  <si>
    <t>Xiang, Yang</t>
  </si>
  <si>
    <t>129.</t>
  </si>
  <si>
    <t>CS</t>
  </si>
  <si>
    <t>Xie, Chengjun</t>
  </si>
  <si>
    <t>130.</t>
  </si>
  <si>
    <t>Zayt</t>
  </si>
  <si>
    <t>Williams Aubin</t>
  </si>
  <si>
    <t>131.</t>
  </si>
  <si>
    <t>FormaL</t>
  </si>
  <si>
    <t>Matthew Piper</t>
  </si>
  <si>
    <t>Halo Infinite</t>
  </si>
  <si>
    <t>132.</t>
  </si>
  <si>
    <t>Order</t>
  </si>
  <si>
    <t>Zeng, Zehai</t>
  </si>
  <si>
    <t>133.</t>
  </si>
  <si>
    <t>NAF</t>
  </si>
  <si>
    <t>Keith Markovic</t>
  </si>
  <si>
    <t>134.</t>
  </si>
  <si>
    <t>Dy</t>
  </si>
  <si>
    <t>Ding, Cong</t>
  </si>
  <si>
    <t>135.</t>
  </si>
  <si>
    <t>ELiGE</t>
  </si>
  <si>
    <t>Jonathan Jablonowski</t>
  </si>
  <si>
    <t>136.</t>
  </si>
  <si>
    <t>NuanYang</t>
  </si>
  <si>
    <t>Lin, Heng</t>
  </si>
  <si>
    <t>137.</t>
  </si>
  <si>
    <t>XuanRan</t>
  </si>
  <si>
    <t>Liu, Ming</t>
  </si>
  <si>
    <t>138.</t>
  </si>
  <si>
    <t>FalleN</t>
  </si>
  <si>
    <t>Gabriel Toledo</t>
  </si>
  <si>
    <t>Brazil</t>
  </si>
  <si>
    <t>139.</t>
  </si>
  <si>
    <t>Sccc</t>
  </si>
  <si>
    <t>Song, Chun</t>
  </si>
  <si>
    <t>140.</t>
  </si>
  <si>
    <t>Queasy</t>
  </si>
  <si>
    <t>Aleksa Cvetkovic</t>
  </si>
  <si>
    <t>Serbia</t>
  </si>
  <si>
    <t>141.</t>
  </si>
  <si>
    <t>Jabz</t>
  </si>
  <si>
    <t>Anucha Jirawong</t>
  </si>
  <si>
    <t>Thailand</t>
  </si>
  <si>
    <t>142.</t>
  </si>
  <si>
    <t>Banana</t>
  </si>
  <si>
    <t>Jiao, Wang</t>
  </si>
  <si>
    <t>143.</t>
  </si>
  <si>
    <t>TaySon</t>
  </si>
  <si>
    <t>Tai Starčič</t>
  </si>
  <si>
    <t>Slovenia</t>
  </si>
  <si>
    <t>144.</t>
  </si>
  <si>
    <t>Jimmy</t>
  </si>
  <si>
    <t>Xu, Yin-Jun</t>
  </si>
  <si>
    <t>Taiwan, Republic of China</t>
  </si>
  <si>
    <t>145.</t>
  </si>
  <si>
    <t>broky</t>
  </si>
  <si>
    <t>Helvijs Saukants</t>
  </si>
  <si>
    <t>Latvia</t>
  </si>
  <si>
    <t>146.</t>
  </si>
  <si>
    <t>sh1ro</t>
  </si>
  <si>
    <t>Dmitry Sokolov</t>
  </si>
  <si>
    <t>147.</t>
  </si>
  <si>
    <t>Save-</t>
  </si>
  <si>
    <t>Vitalie Melnic</t>
  </si>
  <si>
    <t>Moldova, Republic of</t>
  </si>
  <si>
    <t>148.</t>
  </si>
  <si>
    <t>ATF</t>
  </si>
  <si>
    <t>Ammar Al-Assaf</t>
  </si>
  <si>
    <t>149.</t>
  </si>
  <si>
    <t>Loki</t>
  </si>
  <si>
    <t>Park, Jung Young</t>
  </si>
  <si>
    <t>PLAYERUNKNOWN’S BATTLEGROUNDS</t>
  </si>
  <si>
    <t>150.</t>
  </si>
  <si>
    <t>Kreo</t>
  </si>
  <si>
    <t>Nate Kou</t>
  </si>
  <si>
    <t>Hong Kong</t>
  </si>
  <si>
    <t>151.</t>
  </si>
  <si>
    <t>Paparazi</t>
  </si>
  <si>
    <t>Zhang, Chengjun</t>
  </si>
  <si>
    <t>152.</t>
  </si>
  <si>
    <t>Kenny</t>
  </si>
  <si>
    <t>Kenneth Williams</t>
  </si>
  <si>
    <t>Call of Duty: Vanguard</t>
  </si>
  <si>
    <t>153.</t>
  </si>
  <si>
    <t>Clayster</t>
  </si>
  <si>
    <t>James Eubanks</t>
  </si>
  <si>
    <t>154.</t>
  </si>
  <si>
    <t>k1nG</t>
  </si>
  <si>
    <t>Thiago Bautista Lapp</t>
  </si>
  <si>
    <t>Argentina</t>
  </si>
  <si>
    <t>155.</t>
  </si>
  <si>
    <t>kakip</t>
  </si>
  <si>
    <t>Kakinuma, Hidema</t>
  </si>
  <si>
    <t>Shadowverse</t>
  </si>
  <si>
    <t>156.</t>
  </si>
  <si>
    <t>Sylar</t>
  </si>
  <si>
    <t>Liu, Jiajun</t>
  </si>
  <si>
    <t>157.</t>
  </si>
  <si>
    <t>gpk</t>
  </si>
  <si>
    <t>Danil Skutin</t>
  </si>
  <si>
    <t>158.</t>
  </si>
  <si>
    <t>Setty</t>
  </si>
  <si>
    <t>Iwo Zając</t>
  </si>
  <si>
    <t>159.</t>
  </si>
  <si>
    <t>Moogy</t>
  </si>
  <si>
    <t>Xu, Han</t>
  </si>
  <si>
    <t>160.</t>
  </si>
  <si>
    <t>Rojo</t>
  </si>
  <si>
    <t>Dave Jong</t>
  </si>
  <si>
    <t>161.</t>
  </si>
  <si>
    <t>Saf</t>
  </si>
  <si>
    <t>Rocco Morales</t>
  </si>
  <si>
    <t>162.</t>
  </si>
  <si>
    <t>Ceice</t>
  </si>
  <si>
    <t>Davis McClellan</t>
  </si>
  <si>
    <t>163.</t>
  </si>
  <si>
    <t>Stewie2k</t>
  </si>
  <si>
    <t>Jakey Yip</t>
  </si>
  <si>
    <t>164.</t>
  </si>
  <si>
    <t>SanSheng</t>
  </si>
  <si>
    <t>Wang, Zhaohui</t>
  </si>
  <si>
    <t>165.</t>
  </si>
  <si>
    <t>Perfecto</t>
  </si>
  <si>
    <t>Ilya Zalutskiy</t>
  </si>
  <si>
    <t>166.</t>
  </si>
  <si>
    <t>Dark</t>
  </si>
  <si>
    <t>Park, Ryung Woo</t>
  </si>
  <si>
    <t>167.</t>
  </si>
  <si>
    <t>Scump</t>
  </si>
  <si>
    <t>Seth Abner</t>
  </si>
  <si>
    <t>Call of Duty: Infinite Warfare</t>
  </si>
  <si>
    <t>168.</t>
  </si>
  <si>
    <t>Oli</t>
  </si>
  <si>
    <t>Chan, Chon Kien</t>
  </si>
  <si>
    <t>169.</t>
  </si>
  <si>
    <t>Yao</t>
  </si>
  <si>
    <t>Yao, Zhengzheng</t>
  </si>
  <si>
    <t>170.</t>
  </si>
  <si>
    <t>King</t>
  </si>
  <si>
    <t>Lin, Yi-en</t>
  </si>
  <si>
    <t>171.</t>
  </si>
  <si>
    <t>Boombl4</t>
  </si>
  <si>
    <t>Kirill Sergeyevich Mikhailov</t>
  </si>
  <si>
    <t>172.</t>
  </si>
  <si>
    <t>Envoy</t>
  </si>
  <si>
    <t>Dylan Hannon</t>
  </si>
  <si>
    <t>173.</t>
  </si>
  <si>
    <t>Nightfall</t>
  </si>
  <si>
    <t>Egor Grigorenko</t>
  </si>
  <si>
    <t>174.</t>
  </si>
  <si>
    <t>BoBoKa</t>
  </si>
  <si>
    <t>Ye, Zhibiao</t>
  </si>
  <si>
    <t>175.</t>
  </si>
  <si>
    <t>nitr0</t>
  </si>
  <si>
    <t>Nicholas Cannella</t>
  </si>
  <si>
    <t>176.</t>
  </si>
  <si>
    <t>Huke</t>
  </si>
  <si>
    <t>Cuyler Garland</t>
  </si>
  <si>
    <t>177.</t>
  </si>
  <si>
    <t>MMY!</t>
  </si>
  <si>
    <t>Lei, Zengrong</t>
  </si>
  <si>
    <t>178.</t>
  </si>
  <si>
    <t>Hikaru</t>
  </si>
  <si>
    <t>Hikaru Nakamura</t>
  </si>
  <si>
    <t>Chess.com</t>
  </si>
  <si>
    <t>179.</t>
  </si>
  <si>
    <t>Malibuca</t>
  </si>
  <si>
    <t>Danila Yakovenko</t>
  </si>
  <si>
    <t>180.</t>
  </si>
  <si>
    <t>TanRan</t>
  </si>
  <si>
    <t>Sun, Linwei</t>
  </si>
  <si>
    <t>181.</t>
  </si>
  <si>
    <t>MoonMeander</t>
  </si>
  <si>
    <t>David Tan</t>
  </si>
  <si>
    <t>182.</t>
  </si>
  <si>
    <t>Rogue</t>
  </si>
  <si>
    <t>Lee, Byung Ryul</t>
  </si>
  <si>
    <t>183.</t>
  </si>
  <si>
    <t>TACO</t>
  </si>
  <si>
    <t>Epitácio de Melo</t>
  </si>
  <si>
    <t>184.</t>
  </si>
  <si>
    <t>XingYu</t>
  </si>
  <si>
    <t>Li, Yuhao</t>
  </si>
  <si>
    <t>185.</t>
  </si>
  <si>
    <t>Kuku</t>
  </si>
  <si>
    <t>Kuku Palad</t>
  </si>
  <si>
    <t>Philippines</t>
  </si>
  <si>
    <t>186.</t>
  </si>
  <si>
    <t>DJ</t>
  </si>
  <si>
    <t>Djardel Jicko Mampusti</t>
  </si>
  <si>
    <t>187.</t>
  </si>
  <si>
    <t>flameZ</t>
  </si>
  <si>
    <t>Shahar Shushan</t>
  </si>
  <si>
    <t>188.</t>
  </si>
  <si>
    <t>Q</t>
  </si>
  <si>
    <t>Fu, Bin</t>
  </si>
  <si>
    <t>189.</t>
  </si>
  <si>
    <t>fer</t>
  </si>
  <si>
    <t>Fernando Alvarenga</t>
  </si>
  <si>
    <t>190.</t>
  </si>
  <si>
    <t>Whitemon</t>
  </si>
  <si>
    <t>Matthew Filemon</t>
  </si>
  <si>
    <t>Indonesia</t>
  </si>
  <si>
    <t>191.</t>
  </si>
  <si>
    <t>coldzera</t>
  </si>
  <si>
    <t>Marcelo David</t>
  </si>
  <si>
    <t>192.</t>
  </si>
  <si>
    <t>flamie</t>
  </si>
  <si>
    <t>Egor Vasilyev</t>
  </si>
  <si>
    <t>193.</t>
  </si>
  <si>
    <t>ImperialHal</t>
  </si>
  <si>
    <t>Philip Dosen</t>
  </si>
  <si>
    <t>Apex Legends</t>
  </si>
  <si>
    <t>194.</t>
  </si>
  <si>
    <t>Ruler</t>
  </si>
  <si>
    <t>Park, Jae Hyuk</t>
  </si>
  <si>
    <t>195.</t>
  </si>
  <si>
    <t>Slasher</t>
  </si>
  <si>
    <t>Austin Liddicoat</t>
  </si>
  <si>
    <t>Call of Duty: Black Ops III</t>
  </si>
  <si>
    <t>196.</t>
  </si>
  <si>
    <t>Mushi</t>
  </si>
  <si>
    <t>Chai, Yee Fung</t>
  </si>
  <si>
    <t>197.</t>
  </si>
  <si>
    <t>Henry</t>
  </si>
  <si>
    <t>Henry Leverette</t>
  </si>
  <si>
    <t>Madden NFL 22</t>
  </si>
  <si>
    <t>198.</t>
  </si>
  <si>
    <t>KRiMZ</t>
  </si>
  <si>
    <t>Freddy Johansson</t>
  </si>
  <si>
    <t>199.</t>
  </si>
  <si>
    <t>huNter</t>
  </si>
  <si>
    <t>Nemanja Kovač</t>
  </si>
  <si>
    <t>200.</t>
  </si>
  <si>
    <t>mero</t>
  </si>
  <si>
    <t>Matthew Faitel</t>
  </si>
  <si>
    <t>201.</t>
  </si>
  <si>
    <t>Tims</t>
  </si>
  <si>
    <t>Timothy Randrup</t>
  </si>
  <si>
    <t>202.</t>
  </si>
  <si>
    <t>Frosty</t>
  </si>
  <si>
    <t>Bradley Bergstrom</t>
  </si>
  <si>
    <t>Halo 5: Guardians</t>
  </si>
  <si>
    <t>203.</t>
  </si>
  <si>
    <t>UMA</t>
  </si>
  <si>
    <t>Wang Yuan-hao</t>
  </si>
  <si>
    <t>204.</t>
  </si>
  <si>
    <t>feg</t>
  </si>
  <si>
    <t>Okumoto, Ryutaro</t>
  </si>
  <si>
    <t>205.</t>
  </si>
  <si>
    <t>sasamumu</t>
  </si>
  <si>
    <t>206.</t>
  </si>
  <si>
    <t>Veno</t>
  </si>
  <si>
    <t>Harry Pearson</t>
  </si>
  <si>
    <t>207.</t>
  </si>
  <si>
    <t>M0nkey M00n</t>
  </si>
  <si>
    <t>Evan Rogez</t>
  </si>
  <si>
    <t>Rocket League</t>
  </si>
  <si>
    <t>208.</t>
  </si>
  <si>
    <t>Crystallis</t>
  </si>
  <si>
    <t>Remco Arets</t>
  </si>
  <si>
    <t>209.</t>
  </si>
  <si>
    <t>Drazah</t>
  </si>
  <si>
    <t>Zack Jordan</t>
  </si>
  <si>
    <t>210.</t>
  </si>
  <si>
    <t>pieliedie</t>
  </si>
  <si>
    <t>Johan Åström</t>
  </si>
  <si>
    <t>211.</t>
  </si>
  <si>
    <t>Priestahh</t>
  </si>
  <si>
    <t>Preston Greiner</t>
  </si>
  <si>
    <t>Call of Duty: Modern Warfare II</t>
  </si>
  <si>
    <t>212.</t>
  </si>
  <si>
    <t>Elevate</t>
  </si>
  <si>
    <t>Hayden Krueger</t>
  </si>
  <si>
    <t>213.</t>
  </si>
  <si>
    <t>EternaLEnVy</t>
  </si>
  <si>
    <t>Jacky Mao</t>
  </si>
  <si>
    <t>214.</t>
  </si>
  <si>
    <t>Yang</t>
  </si>
  <si>
    <t>Zhou, Haiyang</t>
  </si>
  <si>
    <t>215.</t>
  </si>
  <si>
    <t>SnakeBite</t>
  </si>
  <si>
    <t>Paul Duarte</t>
  </si>
  <si>
    <t>216.</t>
  </si>
  <si>
    <t>Dashy</t>
  </si>
  <si>
    <t>Brandon Otell</t>
  </si>
  <si>
    <t>Call of Duty: Modern Warfare III</t>
  </si>
  <si>
    <t>217.</t>
  </si>
  <si>
    <t>mezii</t>
  </si>
  <si>
    <t>Will Merriman</t>
  </si>
  <si>
    <t>218.</t>
  </si>
  <si>
    <t>Mohamed Light</t>
  </si>
  <si>
    <t>Mohamed Tarek</t>
  </si>
  <si>
    <t>Clash Royale</t>
  </si>
  <si>
    <t>Egypt</t>
  </si>
  <si>
    <t>219.</t>
  </si>
  <si>
    <t>Duke</t>
  </si>
  <si>
    <t>Lee, Ho Seong</t>
  </si>
  <si>
    <t>220.</t>
  </si>
  <si>
    <t>snax</t>
  </si>
  <si>
    <t>Janusz Pogorzelski</t>
  </si>
  <si>
    <t>221.</t>
  </si>
  <si>
    <t>Royal 2</t>
  </si>
  <si>
    <t>Mathew Fiorante</t>
  </si>
  <si>
    <t>222.</t>
  </si>
  <si>
    <t>NoFear</t>
  </si>
  <si>
    <t>Yang, Tao</t>
  </si>
  <si>
    <t>223.</t>
  </si>
  <si>
    <t>N9</t>
  </si>
  <si>
    <t>Wang, Hao</t>
  </si>
  <si>
    <t>CrossFire</t>
  </si>
  <si>
    <t>224.</t>
  </si>
  <si>
    <t>olofmeister</t>
  </si>
  <si>
    <t>Olof Kajbjer</t>
  </si>
  <si>
    <t>225.</t>
  </si>
  <si>
    <t>Lil</t>
  </si>
  <si>
    <t>Ilya Ilyuk</t>
  </si>
  <si>
    <t>226.</t>
  </si>
  <si>
    <t>Chopper</t>
  </si>
  <si>
    <t>Leonid Vishnyakov</t>
  </si>
  <si>
    <t>227.</t>
  </si>
  <si>
    <t>NuoYan</t>
  </si>
  <si>
    <t>Guo, Guixin</t>
  </si>
  <si>
    <t>228.</t>
  </si>
  <si>
    <t>DM</t>
  </si>
  <si>
    <t>Dmitrii Dorokhin</t>
  </si>
  <si>
    <t>229.</t>
  </si>
  <si>
    <t>JW</t>
  </si>
  <si>
    <t>Jesper Wecksell</t>
  </si>
  <si>
    <t>230.</t>
  </si>
  <si>
    <t>Spinx</t>
  </si>
  <si>
    <t>Lotan Giladi</t>
  </si>
  <si>
    <t>231.</t>
  </si>
  <si>
    <t>JackeyLove</t>
  </si>
  <si>
    <t>Yu, Wenbo</t>
  </si>
  <si>
    <t>232.</t>
  </si>
  <si>
    <t>Malr1ne</t>
  </si>
  <si>
    <t>Stanislav Potorak</t>
  </si>
  <si>
    <t>233.</t>
  </si>
  <si>
    <t>CleanX</t>
  </si>
  <si>
    <t>Tobias Jønsson</t>
  </si>
  <si>
    <t>234.</t>
  </si>
  <si>
    <t>ZiMo</t>
  </si>
  <si>
    <t>Wu, Zhejie</t>
  </si>
  <si>
    <t>235.</t>
  </si>
  <si>
    <t>Zy</t>
  </si>
  <si>
    <t>Zhang, Ye</t>
  </si>
  <si>
    <t>236.</t>
  </si>
  <si>
    <t>Bang</t>
  </si>
  <si>
    <t>Bae, Jun Sik</t>
  </si>
  <si>
    <t>237.</t>
  </si>
  <si>
    <t>Wolf</t>
  </si>
  <si>
    <t>Lee, Jae Wan</t>
  </si>
  <si>
    <t>238.</t>
  </si>
  <si>
    <t>QingQing</t>
  </si>
  <si>
    <t>Wu, Jinxiang</t>
  </si>
  <si>
    <t>239.</t>
  </si>
  <si>
    <t>PeterBot</t>
  </si>
  <si>
    <t>Peter Kata</t>
  </si>
  <si>
    <t>240.</t>
  </si>
  <si>
    <t>Raven</t>
  </si>
  <si>
    <t>Marc Polo Luis Fausto</t>
  </si>
  <si>
    <t>241.</t>
  </si>
  <si>
    <t>Pio</t>
  </si>
  <si>
    <t>Cha, Seung Hoon</t>
  </si>
  <si>
    <t>242.</t>
  </si>
  <si>
    <t>Abed</t>
  </si>
  <si>
    <t>Abed Yusop</t>
  </si>
  <si>
    <t>243.</t>
  </si>
  <si>
    <t>GMWSO</t>
  </si>
  <si>
    <t>Wesley So</t>
  </si>
  <si>
    <t>244.</t>
  </si>
  <si>
    <t>Moo</t>
  </si>
  <si>
    <t>David Hull</t>
  </si>
  <si>
    <t>245.</t>
  </si>
  <si>
    <t>Pure</t>
  </si>
  <si>
    <t>Ivan Moskalenko</t>
  </si>
  <si>
    <t>246.</t>
  </si>
  <si>
    <t>BurNIng</t>
  </si>
  <si>
    <t>Xu, Zhilei</t>
  </si>
  <si>
    <t>247.</t>
  </si>
  <si>
    <t>ZQ</t>
  </si>
  <si>
    <t>Zhang, Qian</t>
  </si>
  <si>
    <t>248.</t>
  </si>
  <si>
    <t>TGLTN</t>
  </si>
  <si>
    <t>James Giezen</t>
  </si>
  <si>
    <t>249.</t>
  </si>
  <si>
    <t>flusha</t>
  </si>
  <si>
    <t>Robin Rönnquist</t>
  </si>
  <si>
    <t>250.</t>
  </si>
  <si>
    <t>Insight</t>
  </si>
  <si>
    <t>Jamie Craven</t>
  </si>
  <si>
    <t>251.</t>
  </si>
  <si>
    <t>Octane</t>
  </si>
  <si>
    <t>Sam Larew</t>
  </si>
  <si>
    <t>252.</t>
  </si>
  <si>
    <t>BenjyFishy</t>
  </si>
  <si>
    <t>Benjy David Fish</t>
  </si>
  <si>
    <t>253.</t>
  </si>
  <si>
    <t>hwinn</t>
  </si>
  <si>
    <t>Hunter Winn</t>
  </si>
  <si>
    <t>254.</t>
  </si>
  <si>
    <t>Zayac</t>
  </si>
  <si>
    <t>Bakyt Emilzhanov</t>
  </si>
  <si>
    <t>Kyrgyzstan</t>
  </si>
  <si>
    <t>255.</t>
  </si>
  <si>
    <t>Shrimzy</t>
  </si>
  <si>
    <t>Tristan Nowicky</t>
  </si>
  <si>
    <t>256.</t>
  </si>
  <si>
    <t>Jaedong</t>
  </si>
  <si>
    <t>Lee, Jae Dong</t>
  </si>
  <si>
    <t>StarCraft: Brood War</t>
  </si>
  <si>
    <t>257.</t>
  </si>
  <si>
    <t>Jwei</t>
  </si>
  <si>
    <t>Yang, Jiawei</t>
  </si>
  <si>
    <t>258.</t>
  </si>
  <si>
    <t>23savage</t>
  </si>
  <si>
    <t>Nuengnara Teeramahanon</t>
  </si>
  <si>
    <t>259.</t>
  </si>
  <si>
    <t>ESTH3R</t>
  </si>
  <si>
    <t>Go, Jeong-wan</t>
  </si>
  <si>
    <t>260.</t>
  </si>
  <si>
    <t>Agressif</t>
  </si>
  <si>
    <t>Sun, Zheng</t>
  </si>
  <si>
    <t>261.</t>
  </si>
  <si>
    <t>NBK</t>
  </si>
  <si>
    <t>Nathan Schmitt</t>
  </si>
  <si>
    <t>262.</t>
  </si>
  <si>
    <t>Skite</t>
  </si>
  <si>
    <t>Clément Danglot</t>
  </si>
  <si>
    <t>263.</t>
  </si>
  <si>
    <t>Clem</t>
  </si>
  <si>
    <t>Clément Desplanches</t>
  </si>
  <si>
    <t>264.</t>
  </si>
  <si>
    <t>shox</t>
  </si>
  <si>
    <t>Richard Papillon</t>
  </si>
  <si>
    <t>265.</t>
  </si>
  <si>
    <t>HObbit</t>
  </si>
  <si>
    <t>Abay Khassenov</t>
  </si>
  <si>
    <t>Kazakhstan</t>
  </si>
  <si>
    <t>266.</t>
  </si>
  <si>
    <t>JannisZ</t>
  </si>
  <si>
    <t>Jannis Matwin</t>
  </si>
  <si>
    <t>267.</t>
  </si>
  <si>
    <t>HyDra</t>
  </si>
  <si>
    <t>Paco Rusiewiez</t>
  </si>
  <si>
    <t>268.</t>
  </si>
  <si>
    <t>fng</t>
  </si>
  <si>
    <t>Artsiom Barshak</t>
  </si>
  <si>
    <t>Belarus</t>
  </si>
  <si>
    <t>269.</t>
  </si>
  <si>
    <t>Aleksib</t>
  </si>
  <si>
    <t>Aleksi Virolainen</t>
  </si>
  <si>
    <t>270.</t>
  </si>
  <si>
    <t>Nicolas99FC</t>
  </si>
  <si>
    <t>Nicolas Villalba</t>
  </si>
  <si>
    <t>FIFA 19</t>
  </si>
  <si>
    <t>271.</t>
  </si>
  <si>
    <t>Xiaohu</t>
  </si>
  <si>
    <t>Li, Yuanhao</t>
  </si>
  <si>
    <t>272.</t>
  </si>
  <si>
    <t>JT-</t>
  </si>
  <si>
    <t>Thiay, Jun Wen</t>
  </si>
  <si>
    <t>273.</t>
  </si>
  <si>
    <t>Karma</t>
  </si>
  <si>
    <t>Damon Barlow</t>
  </si>
  <si>
    <t>274.</t>
  </si>
  <si>
    <t>Ah-fu</t>
  </si>
  <si>
    <t>Chuan, Tue Soon</t>
  </si>
  <si>
    <t>275.</t>
  </si>
  <si>
    <t>JiuKu</t>
  </si>
  <si>
    <t>Wang, Tao</t>
  </si>
  <si>
    <t>276.</t>
  </si>
  <si>
    <t>Reynor</t>
  </si>
  <si>
    <t>Riccardo Romiti</t>
  </si>
  <si>
    <t>Italia</t>
  </si>
  <si>
    <t>277.</t>
  </si>
  <si>
    <t>Mitr0</t>
  </si>
  <si>
    <t>Dmitri Van de Vrie</t>
  </si>
  <si>
    <t>278.</t>
  </si>
  <si>
    <t>bzm</t>
  </si>
  <si>
    <t>Bozhidar Bozhilov</t>
  </si>
  <si>
    <t>Bulgaria</t>
  </si>
  <si>
    <t>279.</t>
  </si>
  <si>
    <t>Dendi</t>
  </si>
  <si>
    <t>Danil Ishutin</t>
  </si>
  <si>
    <t>280.</t>
  </si>
  <si>
    <t>DuBu</t>
  </si>
  <si>
    <t>Kim, Doo-young</t>
  </si>
  <si>
    <t>281.</t>
  </si>
  <si>
    <t>Zer0</t>
  </si>
  <si>
    <t>Rhye Perry</t>
  </si>
  <si>
    <t>282.</t>
  </si>
  <si>
    <t>m0NESY</t>
  </si>
  <si>
    <t>Ilya Osipov</t>
  </si>
  <si>
    <t>283.</t>
  </si>
  <si>
    <t>Mlan</t>
  </si>
  <si>
    <t>Peng, Junlan</t>
  </si>
  <si>
    <t>284.</t>
  </si>
  <si>
    <t>Acorn</t>
  </si>
  <si>
    <t>Abdullah Akhras</t>
  </si>
  <si>
    <t>285.</t>
  </si>
  <si>
    <t>GuardiaN</t>
  </si>
  <si>
    <t>Ladislav Kovács</t>
  </si>
  <si>
    <t>286.</t>
  </si>
  <si>
    <t>magixx</t>
  </si>
  <si>
    <t>Boris Vorobiev</t>
  </si>
  <si>
    <t>287.</t>
  </si>
  <si>
    <t>Bengi</t>
  </si>
  <si>
    <t>Bae, Seong Ung</t>
  </si>
  <si>
    <t>288.</t>
  </si>
  <si>
    <t>SonicFox</t>
  </si>
  <si>
    <t>Dominique Mclean</t>
  </si>
  <si>
    <t>Mortal Kombat X</t>
  </si>
  <si>
    <t>289.</t>
  </si>
  <si>
    <t>MieRo</t>
  </si>
  <si>
    <t>Matvey Vasyunin</t>
  </si>
  <si>
    <t>290.</t>
  </si>
  <si>
    <t>Atomic</t>
  </si>
  <si>
    <t>Massimo Franceschi</t>
  </si>
  <si>
    <t>291.</t>
  </si>
  <si>
    <t>rOtK</t>
  </si>
  <si>
    <t>Bai, Fan</t>
  </si>
  <si>
    <t>292.</t>
  </si>
  <si>
    <t>INnoVation</t>
  </si>
  <si>
    <t>Lee, Shin Hyung</t>
  </si>
  <si>
    <t>293.</t>
  </si>
  <si>
    <t>tarik</t>
  </si>
  <si>
    <t>Tarik Celik</t>
  </si>
  <si>
    <t>294.</t>
  </si>
  <si>
    <t>Peanut</t>
  </si>
  <si>
    <t>Han, Wang Ho</t>
  </si>
  <si>
    <t>295.</t>
  </si>
  <si>
    <t>Zeus</t>
  </si>
  <si>
    <t>Danylo Teslenko</t>
  </si>
  <si>
    <t>296.</t>
  </si>
  <si>
    <t>Shaiiko</t>
  </si>
  <si>
    <t>Stephane Lebleu</t>
  </si>
  <si>
    <t>Rainbow Six Siege</t>
  </si>
  <si>
    <t>297.</t>
  </si>
  <si>
    <t>Lethul</t>
  </si>
  <si>
    <t>Tony Campbell</t>
  </si>
  <si>
    <t>298.</t>
  </si>
  <si>
    <t>Arkhram</t>
  </si>
  <si>
    <t>Diego Lima</t>
  </si>
  <si>
    <t>299.</t>
  </si>
  <si>
    <t>donk</t>
  </si>
  <si>
    <t>Danil Kryshkovets</t>
  </si>
  <si>
    <t>300.</t>
  </si>
  <si>
    <t>Vejrgang</t>
  </si>
  <si>
    <t>Anders Vejrgang</t>
  </si>
  <si>
    <t>EA Sports FC 24</t>
  </si>
  <si>
    <t>301.</t>
  </si>
  <si>
    <t>Adou</t>
  </si>
  <si>
    <t>Jiang, Tao</t>
  </si>
  <si>
    <t>302.</t>
  </si>
  <si>
    <t>flyfly</t>
  </si>
  <si>
    <t>Jin, Zhiyi</t>
  </si>
  <si>
    <t>303.</t>
  </si>
  <si>
    <t>Moon</t>
  </si>
  <si>
    <t>Jang, Jae Ho</t>
  </si>
  <si>
    <t>WarCraft III</t>
  </si>
  <si>
    <t>304.</t>
  </si>
  <si>
    <t>CoreJJ</t>
  </si>
  <si>
    <t>Jo, Yong In</t>
  </si>
  <si>
    <t>305.</t>
  </si>
  <si>
    <t>Cold</t>
  </si>
  <si>
    <t>Joshua Butler</t>
  </si>
  <si>
    <t>306.</t>
  </si>
  <si>
    <t>Jame</t>
  </si>
  <si>
    <t>Dzhami Ali</t>
  </si>
  <si>
    <t>307.</t>
  </si>
  <si>
    <t>Caps</t>
  </si>
  <si>
    <t>Rasmus Borregaard Winther</t>
  </si>
  <si>
    <t>308.</t>
  </si>
  <si>
    <t>TeSeS</t>
  </si>
  <si>
    <t>René Madsen</t>
  </si>
  <si>
    <t>309.</t>
  </si>
  <si>
    <t>f0rest</t>
  </si>
  <si>
    <t>Patrik Lindberg</t>
  </si>
  <si>
    <t>310.</t>
  </si>
  <si>
    <t>Kismet</t>
  </si>
  <si>
    <t>Matthew Tinsley</t>
  </si>
  <si>
    <t>311.</t>
  </si>
  <si>
    <t>neo</t>
  </si>
  <si>
    <t>Filip Kubski</t>
  </si>
  <si>
    <t>312.</t>
  </si>
  <si>
    <t>Brollan</t>
  </si>
  <si>
    <t>Ludvig Brolin</t>
  </si>
  <si>
    <t>313.</t>
  </si>
  <si>
    <t>Suk</t>
  </si>
  <si>
    <t>Feng, Shujie</t>
  </si>
  <si>
    <t>314.</t>
  </si>
  <si>
    <t>Umut</t>
  </si>
  <si>
    <t>Umut Gültekin</t>
  </si>
  <si>
    <t>FIFA 22</t>
  </si>
  <si>
    <t>315.</t>
  </si>
  <si>
    <t>Chapix</t>
  </si>
  <si>
    <t>Moussa Faour</t>
  </si>
  <si>
    <t>316.</t>
  </si>
  <si>
    <t>TaZ</t>
  </si>
  <si>
    <t>Wiktor Wojtas</t>
  </si>
  <si>
    <t>317.</t>
  </si>
  <si>
    <t>JinYu</t>
  </si>
  <si>
    <t>Xu, Xiangyu</t>
  </si>
  <si>
    <t>318.</t>
  </si>
  <si>
    <t>Bance</t>
  </si>
  <si>
    <t>Benjamin Bance</t>
  </si>
  <si>
    <t>319.</t>
  </si>
  <si>
    <t>WuMing</t>
  </si>
  <si>
    <t>Zhang, Cong</t>
  </si>
  <si>
    <t>320.</t>
  </si>
  <si>
    <t>Peng</t>
  </si>
  <si>
    <t>Lu, Jiapeng</t>
  </si>
  <si>
    <t>321.</t>
  </si>
  <si>
    <t>kennyS</t>
  </si>
  <si>
    <t>Kenny Schrub</t>
  </si>
  <si>
    <t>322.</t>
  </si>
  <si>
    <t>frozen</t>
  </si>
  <si>
    <t>David Čerňanský</t>
  </si>
  <si>
    <t>323.</t>
  </si>
  <si>
    <t>Hen</t>
  </si>
  <si>
    <t>Henrik Mclean</t>
  </si>
  <si>
    <t>324.</t>
  </si>
  <si>
    <t>Qfeng</t>
  </si>
  <si>
    <t>Du, Zhou</t>
  </si>
  <si>
    <t>325.</t>
  </si>
  <si>
    <t>ChuaN</t>
  </si>
  <si>
    <t>Wong, Hock Chuan</t>
  </si>
  <si>
    <t>326.</t>
  </si>
  <si>
    <t>Mongraal</t>
  </si>
  <si>
    <t>Kyle Jackson</t>
  </si>
  <si>
    <t>327.</t>
  </si>
  <si>
    <t>sjuush</t>
  </si>
  <si>
    <t>Rasmus Beck</t>
  </si>
  <si>
    <t>328.</t>
  </si>
  <si>
    <t>qc</t>
  </si>
  <si>
    <t>Xu, Jiajun</t>
  </si>
  <si>
    <t>329.</t>
  </si>
  <si>
    <t>merstachhh</t>
  </si>
  <si>
    <t>Andrej Piratov</t>
  </si>
  <si>
    <t>330.</t>
  </si>
  <si>
    <t>Wisper</t>
  </si>
  <si>
    <t>Adrián Dobles</t>
  </si>
  <si>
    <t>Bolivia</t>
  </si>
  <si>
    <t>331.</t>
  </si>
  <si>
    <t>Skyz</t>
  </si>
  <si>
    <t>Cesar Bueno</t>
  </si>
  <si>
    <t>332.</t>
  </si>
  <si>
    <t>SabeRLight-</t>
  </si>
  <si>
    <t>Jonáš Volek</t>
  </si>
  <si>
    <t>Czech Republic</t>
  </si>
  <si>
    <t>333.</t>
  </si>
  <si>
    <t>Crue</t>
  </si>
  <si>
    <t>Theo Ferrer</t>
  </si>
  <si>
    <t>334.</t>
  </si>
  <si>
    <t>Emo</t>
  </si>
  <si>
    <t>Zhou, Yi</t>
  </si>
  <si>
    <t>335.</t>
  </si>
  <si>
    <t>TY</t>
  </si>
  <si>
    <t>Jun, Tae Yang</t>
  </si>
  <si>
    <t>336.</t>
  </si>
  <si>
    <t>Byshow</t>
  </si>
  <si>
    <t>Fang, Qingyou</t>
  </si>
  <si>
    <t>337.</t>
  </si>
  <si>
    <t>MSdossary7</t>
  </si>
  <si>
    <t>Mossad Aldossary</t>
  </si>
  <si>
    <t>FIFA 18</t>
  </si>
  <si>
    <t>Saudi Arabia</t>
  </si>
  <si>
    <t>338.</t>
  </si>
  <si>
    <t>MSS</t>
  </si>
  <si>
    <t>Arif Anwar</t>
  </si>
  <si>
    <t>339.</t>
  </si>
  <si>
    <t>Edward</t>
  </si>
  <si>
    <t>Ioann Sukharev</t>
  </si>
  <si>
    <t>340.</t>
  </si>
  <si>
    <t>Scofield</t>
  </si>
  <si>
    <t>Scofield leches Gomez</t>
  </si>
  <si>
    <t>Peru</t>
  </si>
  <si>
    <t>341.</t>
  </si>
  <si>
    <t>MMing</t>
  </si>
  <si>
    <t>Chen, Yinan</t>
  </si>
  <si>
    <t>342.</t>
  </si>
  <si>
    <t>pyw</t>
  </si>
  <si>
    <t>Xiong, Jiahan</t>
  </si>
  <si>
    <t>343.</t>
  </si>
  <si>
    <t>zont1x</t>
  </si>
  <si>
    <t>Myroslav Plakhotia</t>
  </si>
  <si>
    <t>344.</t>
  </si>
  <si>
    <t>JKap</t>
  </si>
  <si>
    <t>Jordan Kaplan</t>
  </si>
  <si>
    <t>345.</t>
  </si>
  <si>
    <t>Aydan</t>
  </si>
  <si>
    <t>Aydan Conrad</t>
  </si>
  <si>
    <t>Call of Duty: Warzone</t>
  </si>
  <si>
    <t>346.</t>
  </si>
  <si>
    <t>cadiaN</t>
  </si>
  <si>
    <t>Casper Møller</t>
  </si>
  <si>
    <t>347.</t>
  </si>
  <si>
    <t>jks</t>
  </si>
  <si>
    <t>Justin Savage</t>
  </si>
  <si>
    <t>348.</t>
  </si>
  <si>
    <t>garder</t>
  </si>
  <si>
    <t>Liu, Xinzhou</t>
  </si>
  <si>
    <t>349.</t>
  </si>
  <si>
    <t>Vatira</t>
  </si>
  <si>
    <t>Axel Touret</t>
  </si>
  <si>
    <t>350.</t>
  </si>
  <si>
    <t>Loda</t>
  </si>
  <si>
    <t>Jonathan Berg</t>
  </si>
  <si>
    <t>351.</t>
  </si>
  <si>
    <t>Inonix</t>
  </si>
  <si>
    <t>Na, Hee Joo</t>
  </si>
  <si>
    <t>352.</t>
  </si>
  <si>
    <t>Tfue</t>
  </si>
  <si>
    <t>Turner Tenney</t>
  </si>
  <si>
    <t>353.</t>
  </si>
  <si>
    <t>Cooper</t>
  </si>
  <si>
    <t>Cooper Smith</t>
  </si>
  <si>
    <t>354.</t>
  </si>
  <si>
    <t>Ethan</t>
  </si>
  <si>
    <t>Ethan Arnold</t>
  </si>
  <si>
    <t>355.</t>
  </si>
  <si>
    <t>Flash</t>
  </si>
  <si>
    <t>Lee, Young Ho</t>
  </si>
  <si>
    <t>356.</t>
  </si>
  <si>
    <t>Khanada</t>
  </si>
  <si>
    <t>Leon Khim</t>
  </si>
  <si>
    <t>357.</t>
  </si>
  <si>
    <t>Eco</t>
  </si>
  <si>
    <t>Kevin Smith</t>
  </si>
  <si>
    <t>358.</t>
  </si>
  <si>
    <t>Ax1Le</t>
  </si>
  <si>
    <t>Sergey Rykhtorov</t>
  </si>
  <si>
    <t>359.</t>
  </si>
  <si>
    <t>stavn</t>
  </si>
  <si>
    <t>Martin Lund</t>
  </si>
  <si>
    <t>360.</t>
  </si>
  <si>
    <t>iLLeY</t>
  </si>
  <si>
    <t>Indervir Dhaliwal</t>
  </si>
  <si>
    <t>361.</t>
  </si>
  <si>
    <t>DaShuai</t>
  </si>
  <si>
    <t>Meng, Jiajun</t>
  </si>
  <si>
    <t>362.</t>
  </si>
  <si>
    <t>Canyon</t>
  </si>
  <si>
    <t>Kim, Geon Bu</t>
  </si>
  <si>
    <t>363.</t>
  </si>
  <si>
    <t>Xz</t>
  </si>
  <si>
    <t>Chen, Zezhi</t>
  </si>
  <si>
    <t>364.</t>
  </si>
  <si>
    <t>herO</t>
  </si>
  <si>
    <t>Kim, Joon Ho</t>
  </si>
  <si>
    <t>365.</t>
  </si>
  <si>
    <t>Zest</t>
  </si>
  <si>
    <t>Joo, Sung Wook</t>
  </si>
  <si>
    <t>366.</t>
  </si>
  <si>
    <t>Beizhai</t>
  </si>
  <si>
    <t>Ma, Run</t>
  </si>
  <si>
    <t>367.</t>
  </si>
  <si>
    <t>GAI</t>
  </si>
  <si>
    <t>Yang, Tingpu</t>
  </si>
  <si>
    <t>368.</t>
  </si>
  <si>
    <t>Armel</t>
  </si>
  <si>
    <t>Armel Paul Tabios</t>
  </si>
  <si>
    <t>369.</t>
  </si>
  <si>
    <t>Impact</t>
  </si>
  <si>
    <t>Jung, Eon Yeong</t>
  </si>
  <si>
    <t>370.</t>
  </si>
  <si>
    <t>XiaoYing</t>
  </si>
  <si>
    <t>Tang, Jiajie</t>
  </si>
  <si>
    <t>371.</t>
  </si>
  <si>
    <t>TruleX</t>
  </si>
  <si>
    <t>Nikola Krudulj</t>
  </si>
  <si>
    <t>372.</t>
  </si>
  <si>
    <t>QiaoXi</t>
  </si>
  <si>
    <t>Zeng, Qinglong</t>
  </si>
  <si>
    <t>373.</t>
  </si>
  <si>
    <t>StelluR</t>
  </si>
  <si>
    <t>Braedon Boettcher</t>
  </si>
  <si>
    <t>374.</t>
  </si>
  <si>
    <t>Classic</t>
  </si>
  <si>
    <t>Kim, Doh Woo</t>
  </si>
  <si>
    <t>375.</t>
  </si>
  <si>
    <t>HuaJuan</t>
  </si>
  <si>
    <t>Wu, Yutao</t>
  </si>
  <si>
    <t>376.</t>
  </si>
  <si>
    <t>Fade</t>
  </si>
  <si>
    <t>Pan, Yi</t>
  </si>
  <si>
    <t>377.</t>
  </si>
  <si>
    <t>Daniel</t>
  </si>
  <si>
    <t>Daniel Piecenski</t>
  </si>
  <si>
    <t>378.</t>
  </si>
  <si>
    <t>EGM</t>
  </si>
  <si>
    <t>Jerry Lundqvist</t>
  </si>
  <si>
    <t>379.</t>
  </si>
  <si>
    <t>QianShi</t>
  </si>
  <si>
    <t>Zhou, Kuan</t>
  </si>
  <si>
    <t>380.</t>
  </si>
  <si>
    <t>Even</t>
  </si>
  <si>
    <t>Zheng, Pengfei</t>
  </si>
  <si>
    <t>381.</t>
  </si>
  <si>
    <t>ubah</t>
  </si>
  <si>
    <t>Ivan Kapustin</t>
  </si>
  <si>
    <t>382.</t>
  </si>
  <si>
    <t>TekKz</t>
  </si>
  <si>
    <t>Donovan Hunt</t>
  </si>
  <si>
    <t>383.</t>
  </si>
  <si>
    <t>Cammy</t>
  </si>
  <si>
    <t>Cameron McKilligan</t>
  </si>
  <si>
    <t>384.</t>
  </si>
  <si>
    <t>Solar</t>
  </si>
  <si>
    <t>Kang, Min Soo</t>
  </si>
  <si>
    <t>385.</t>
  </si>
  <si>
    <t>nafany</t>
  </si>
  <si>
    <t>Vladislav Gorshkov</t>
  </si>
  <si>
    <t>386.</t>
  </si>
  <si>
    <t>Lyn</t>
  </si>
  <si>
    <t>Park, Joon</t>
  </si>
  <si>
    <t>387.</t>
  </si>
  <si>
    <t>sOs</t>
  </si>
  <si>
    <t>Kim, Yoo Jin</t>
  </si>
  <si>
    <t>388.</t>
  </si>
  <si>
    <t>Reps</t>
  </si>
  <si>
    <t>Jordan Wolfe</t>
  </si>
  <si>
    <t>389.</t>
  </si>
  <si>
    <t>Bizzle</t>
  </si>
  <si>
    <t>Timothy Miller</t>
  </si>
  <si>
    <t>390.</t>
  </si>
  <si>
    <t>Rookie</t>
  </si>
  <si>
    <t>Song, Eui Jin</t>
  </si>
  <si>
    <t>391.</t>
  </si>
  <si>
    <t>BriD</t>
  </si>
  <si>
    <t>Loïc Chongthep</t>
  </si>
  <si>
    <t>392.</t>
  </si>
  <si>
    <t>XBOCT</t>
  </si>
  <si>
    <t>Oleksandr Dashkevych</t>
  </si>
  <si>
    <t>393.</t>
  </si>
  <si>
    <t>Knight</t>
  </si>
  <si>
    <t>Zhuo, Ding</t>
  </si>
  <si>
    <t>394.</t>
  </si>
  <si>
    <t>Ming</t>
  </si>
  <si>
    <t>Chen, Haoming</t>
  </si>
  <si>
    <t>395.</t>
  </si>
  <si>
    <t>BeastMode</t>
  </si>
  <si>
    <t>Landon Konerman</t>
  </si>
  <si>
    <t>396.</t>
  </si>
  <si>
    <t>Kickstart</t>
  </si>
  <si>
    <t>Matt Smith</t>
  </si>
  <si>
    <t>397.</t>
  </si>
  <si>
    <t>Meiko</t>
  </si>
  <si>
    <t>Tian, Ye</t>
  </si>
  <si>
    <t>398.</t>
  </si>
  <si>
    <t>Shiki</t>
  </si>
  <si>
    <t>Huang, Jiwei</t>
  </si>
  <si>
    <t>399.</t>
  </si>
  <si>
    <t>Vadeal</t>
  </si>
  <si>
    <t>Alexander Schlik</t>
  </si>
  <si>
    <t>400.</t>
  </si>
  <si>
    <t>Keria</t>
  </si>
  <si>
    <t>Ryu, Min Seok</t>
  </si>
  <si>
    <t>401.</t>
  </si>
  <si>
    <t>ByuN</t>
  </si>
  <si>
    <t>Byun, Hyun Woo</t>
  </si>
  <si>
    <t>402.</t>
  </si>
  <si>
    <t>Taiga</t>
  </si>
  <si>
    <t>Tommy Le</t>
  </si>
  <si>
    <t>403.</t>
  </si>
  <si>
    <t>Viol2t</t>
  </si>
  <si>
    <t>Park, Min Ki</t>
  </si>
  <si>
    <t>Overwatch</t>
  </si>
  <si>
    <t>404.</t>
  </si>
  <si>
    <t>Akke</t>
  </si>
  <si>
    <t>Joakim Akterhall</t>
  </si>
  <si>
    <t>405.</t>
  </si>
  <si>
    <t>TheShy</t>
  </si>
  <si>
    <t>Kang, Seung Lok</t>
  </si>
  <si>
    <t>406.</t>
  </si>
  <si>
    <t>Gachikun</t>
  </si>
  <si>
    <t>Kanamori, Tsunehiro</t>
  </si>
  <si>
    <t>407.</t>
  </si>
  <si>
    <t>soO</t>
  </si>
  <si>
    <t>Eu, Yoon Su</t>
  </si>
  <si>
    <t>408.</t>
  </si>
  <si>
    <t>M1ME</t>
  </si>
  <si>
    <t>Austin Scherff</t>
  </si>
  <si>
    <t>409.</t>
  </si>
  <si>
    <t>Nannnnn</t>
  </si>
  <si>
    <t>Li, Nanjiang</t>
  </si>
  <si>
    <t>410.</t>
  </si>
  <si>
    <t>XingHen</t>
  </si>
  <si>
    <t>Wang, Keqin</t>
  </si>
  <si>
    <t>411.</t>
  </si>
  <si>
    <t>Rush</t>
  </si>
  <si>
    <t>Will Wierzba</t>
  </si>
  <si>
    <t>412.</t>
  </si>
  <si>
    <t>Tommey</t>
  </si>
  <si>
    <t>Thomas Trewren</t>
  </si>
  <si>
    <t>413.</t>
  </si>
  <si>
    <t>BuRan</t>
  </si>
  <si>
    <t>Ye, Kang</t>
  </si>
  <si>
    <t>414.</t>
  </si>
  <si>
    <t>AdmiralBulldog</t>
  </si>
  <si>
    <t>Henrik Ahnberg</t>
  </si>
  <si>
    <t>415.</t>
  </si>
  <si>
    <t>Yisheng</t>
  </si>
  <si>
    <t>Li, Ziwei</t>
  </si>
  <si>
    <t>416.</t>
  </si>
  <si>
    <t>Stats</t>
  </si>
  <si>
    <t>Kim, Dae Yeob</t>
  </si>
  <si>
    <t>417.</t>
  </si>
  <si>
    <t>Chovy</t>
  </si>
  <si>
    <t>Jeong, Ji Hoon</t>
  </si>
  <si>
    <t>418.</t>
  </si>
  <si>
    <t>stompy</t>
  </si>
  <si>
    <t>Klaus Konstanzer</t>
  </si>
  <si>
    <t>419.</t>
  </si>
  <si>
    <t>XANTARES</t>
  </si>
  <si>
    <t>İsmailсan Dörtkardeş</t>
  </si>
  <si>
    <t>Turkey</t>
  </si>
  <si>
    <t>420.</t>
  </si>
  <si>
    <t>Taemin</t>
  </si>
  <si>
    <t>Kang, Tae Min</t>
  </si>
  <si>
    <t>421.</t>
  </si>
  <si>
    <t>YawaR</t>
  </si>
  <si>
    <t>Yawar Hassan</t>
  </si>
  <si>
    <t>422.</t>
  </si>
  <si>
    <t>Kjaerbye</t>
  </si>
  <si>
    <t>Markus Kjærbye</t>
  </si>
  <si>
    <t>423.</t>
  </si>
  <si>
    <t>GeT_RiGhT</t>
  </si>
  <si>
    <t>Christopher Alesund</t>
  </si>
  <si>
    <t>424.</t>
  </si>
  <si>
    <t>trk511</t>
  </si>
  <si>
    <t>Mohammed Alotaibi</t>
  </si>
  <si>
    <t>425.</t>
  </si>
  <si>
    <t>ZpYan1</t>
  </si>
  <si>
    <t>Zhou, Pinyan</t>
  </si>
  <si>
    <t>426.</t>
  </si>
  <si>
    <t>pashaBiceps</t>
  </si>
  <si>
    <t>Jarosław Jarząbkowski</t>
  </si>
  <si>
    <t>427.</t>
  </si>
  <si>
    <t>Edgey</t>
  </si>
  <si>
    <t>Ben Peterson</t>
  </si>
  <si>
    <t>428.</t>
  </si>
  <si>
    <t>Prestinni</t>
  </si>
  <si>
    <t>Preston Sanderson</t>
  </si>
  <si>
    <t>Call of Duty: Black Ops 4</t>
  </si>
  <si>
    <t>429.</t>
  </si>
  <si>
    <t>Qikert</t>
  </si>
  <si>
    <t>Aleksei Golubev</t>
  </si>
  <si>
    <t>430.</t>
  </si>
  <si>
    <t>GuiQi</t>
  </si>
  <si>
    <t>Shuang, Xiaojun</t>
  </si>
  <si>
    <t>431.</t>
  </si>
  <si>
    <t>Baolan</t>
  </si>
  <si>
    <t>Wang, Liuyi</t>
  </si>
  <si>
    <t>432.</t>
  </si>
  <si>
    <t>Clix</t>
  </si>
  <si>
    <t>Cody Conrod</t>
  </si>
  <si>
    <t>433.</t>
  </si>
  <si>
    <t>Attach</t>
  </si>
  <si>
    <t>Dillon Price</t>
  </si>
  <si>
    <t>Call of Duty: Advanced Warfare</t>
  </si>
  <si>
    <t>434.</t>
  </si>
  <si>
    <t>Febby</t>
  </si>
  <si>
    <t>Kim, Yong Min</t>
  </si>
  <si>
    <t>435.</t>
  </si>
  <si>
    <t>Tokido</t>
  </si>
  <si>
    <t>Taniguchi, Hajime</t>
  </si>
  <si>
    <t>Street Fighter V: Arcade Edition</t>
  </si>
  <si>
    <t>436.</t>
  </si>
  <si>
    <t>Chris Luck</t>
  </si>
  <si>
    <t>Jean Pierre Gonzales</t>
  </si>
  <si>
    <t>437.</t>
  </si>
  <si>
    <t>Pollo</t>
  </si>
  <si>
    <t>Mexico</t>
  </si>
  <si>
    <t>438.</t>
  </si>
  <si>
    <t>PHzin</t>
  </si>
  <si>
    <t>Paulo Henrique Chaves</t>
  </si>
  <si>
    <t>FIFA 23</t>
  </si>
  <si>
    <t>439.</t>
  </si>
  <si>
    <t>Mugi</t>
  </si>
  <si>
    <t>440.</t>
  </si>
  <si>
    <t>chrisJ</t>
  </si>
  <si>
    <t>Christiaan de Jong</t>
  </si>
  <si>
    <t>441.</t>
  </si>
  <si>
    <t>Mikoto</t>
  </si>
  <si>
    <t>Rafli Fathur Rahman</t>
  </si>
  <si>
    <t>442.</t>
  </si>
  <si>
    <t>ShenRen</t>
  </si>
  <si>
    <t>Ma, Tengfei</t>
  </si>
  <si>
    <t>443.</t>
  </si>
  <si>
    <t>Apathy</t>
  </si>
  <si>
    <t>Bryan Zhelyazkov</t>
  </si>
  <si>
    <t>444.</t>
  </si>
  <si>
    <t>Seikoo</t>
  </si>
  <si>
    <t>Enzo Grondein</t>
  </si>
  <si>
    <t>445.</t>
  </si>
  <si>
    <t>Oner</t>
  </si>
  <si>
    <t>Moon, Hyeon Joon</t>
  </si>
  <si>
    <t>446.</t>
  </si>
  <si>
    <t>Inflame</t>
  </si>
  <si>
    <t>He, Yongzheng</t>
  </si>
  <si>
    <t>447.</t>
  </si>
  <si>
    <t>Gumayusi</t>
  </si>
  <si>
    <t>Lee, Min Hyeong</t>
  </si>
  <si>
    <t>448.</t>
  </si>
  <si>
    <t>yANXNZ</t>
  </si>
  <si>
    <t>Yan Xisto Nolasco</t>
  </si>
  <si>
    <t>449.</t>
  </si>
  <si>
    <t>Ferrari_430</t>
  </si>
  <si>
    <t>Luo, Feichi</t>
  </si>
  <si>
    <t>450.</t>
  </si>
  <si>
    <t>FengJie</t>
  </si>
  <si>
    <t>Jiang, Longhui</t>
  </si>
  <si>
    <t>451.</t>
  </si>
  <si>
    <t>Ning</t>
  </si>
  <si>
    <t>Gao, Zhenning</t>
  </si>
  <si>
    <t>452.</t>
  </si>
  <si>
    <t>Verhulst</t>
  </si>
  <si>
    <t>Evan Verhulst</t>
  </si>
  <si>
    <t>453.</t>
  </si>
  <si>
    <t>Scrappy</t>
  </si>
  <si>
    <t>Thomas Ernst</t>
  </si>
  <si>
    <t>454.</t>
  </si>
  <si>
    <t>MP</t>
  </si>
  <si>
    <t>Pyo, Noah</t>
  </si>
  <si>
    <t>455.</t>
  </si>
  <si>
    <t>HS</t>
  </si>
  <si>
    <t>Wang, Yanwen</t>
  </si>
  <si>
    <t>456.</t>
  </si>
  <si>
    <t>StingeR</t>
  </si>
  <si>
    <t>Steven Vargas</t>
  </si>
  <si>
    <t>457.</t>
  </si>
  <si>
    <t>QO</t>
  </si>
  <si>
    <t>Kim, Sunyeob</t>
  </si>
  <si>
    <t>458.</t>
  </si>
  <si>
    <t>Kataomi`</t>
  </si>
  <si>
    <t>Vladislav Semenov</t>
  </si>
  <si>
    <t>459.</t>
  </si>
  <si>
    <t>Neeb</t>
  </si>
  <si>
    <t>Alex Sunderhaft</t>
  </si>
  <si>
    <t>460.</t>
  </si>
  <si>
    <t>Rw9</t>
  </si>
  <si>
    <t>Saleh Bakhashwin</t>
  </si>
  <si>
    <t>461.</t>
  </si>
  <si>
    <t>369</t>
  </si>
  <si>
    <t>Bai, Jiahao</t>
  </si>
  <si>
    <t>462.</t>
  </si>
  <si>
    <t>天宇</t>
  </si>
  <si>
    <t>Zhang, Tianyu</t>
  </si>
  <si>
    <t>463.</t>
  </si>
  <si>
    <t>Ohaiyo</t>
  </si>
  <si>
    <t>Khoo, Chong Xin</t>
  </si>
  <si>
    <t>464.</t>
  </si>
  <si>
    <t>PerkZ</t>
  </si>
  <si>
    <t>Luka Perković</t>
  </si>
  <si>
    <t>Croatia</t>
  </si>
  <si>
    <t>465.</t>
  </si>
  <si>
    <t>JKnaps</t>
  </si>
  <si>
    <t>Jacob Knapman</t>
  </si>
  <si>
    <t>466.</t>
  </si>
  <si>
    <t>Alpha54</t>
  </si>
  <si>
    <t>Yanis Champenois</t>
  </si>
  <si>
    <t>467.</t>
  </si>
  <si>
    <t>Genburten</t>
  </si>
  <si>
    <t>Noyan Ozkose</t>
  </si>
  <si>
    <t>468.</t>
  </si>
  <si>
    <t>K1</t>
  </si>
  <si>
    <t>Hector Antonio Rodriguez</t>
  </si>
  <si>
    <t>469.</t>
  </si>
  <si>
    <t>Chicago</t>
  </si>
  <si>
    <t>Reed Wilen</t>
  </si>
  <si>
    <t>470.</t>
  </si>
  <si>
    <t>Chico</t>
  </si>
  <si>
    <t>471.</t>
  </si>
  <si>
    <t>Renegade</t>
  </si>
  <si>
    <t>Jonathan Willette</t>
  </si>
  <si>
    <t>472.</t>
  </si>
  <si>
    <t>byali</t>
  </si>
  <si>
    <t>Paweł Bieliński</t>
  </si>
  <si>
    <t>473.</t>
  </si>
  <si>
    <t>Shi, Senming</t>
  </si>
  <si>
    <t>474.</t>
  </si>
  <si>
    <t>Firstkiller</t>
  </si>
  <si>
    <t>Jason Corral</t>
  </si>
  <si>
    <t>475.</t>
  </si>
  <si>
    <t>Hurt</t>
  </si>
  <si>
    <t>Xia, Shengqqin</t>
  </si>
  <si>
    <t>476.</t>
  </si>
  <si>
    <t>torzsi</t>
  </si>
  <si>
    <t>Ádám Torzsás</t>
  </si>
  <si>
    <t>Hungary</t>
  </si>
  <si>
    <t>477.</t>
  </si>
  <si>
    <t>Thijs</t>
  </si>
  <si>
    <t>Thijs Molendijk</t>
  </si>
  <si>
    <t>Hearthstone</t>
  </si>
  <si>
    <t>478.</t>
  </si>
  <si>
    <t>Karsa</t>
  </si>
  <si>
    <t>Hung, Hau-Hsuan</t>
  </si>
  <si>
    <t>479.</t>
  </si>
  <si>
    <t>Xm</t>
  </si>
  <si>
    <t>Guo, Hongcheng</t>
  </si>
  <si>
    <t>480.</t>
  </si>
  <si>
    <t>LIP</t>
  </si>
  <si>
    <t>Lee, Jae Won</t>
  </si>
  <si>
    <t>481.</t>
  </si>
  <si>
    <t>MrSavage</t>
  </si>
  <si>
    <t>Martin Foss</t>
  </si>
  <si>
    <t>482.</t>
  </si>
  <si>
    <t>Striker</t>
  </si>
  <si>
    <t>Kwon, Nam Joo</t>
  </si>
  <si>
    <t>483.</t>
  </si>
  <si>
    <t>Pred</t>
  </si>
  <si>
    <t>Amer Zulbeari</t>
  </si>
  <si>
    <t>484.</t>
  </si>
  <si>
    <t>Worawit Mekchai</t>
  </si>
  <si>
    <t>485.</t>
  </si>
  <si>
    <t>old chicken</t>
  </si>
  <si>
    <t>Wang, Zhiyong</t>
  </si>
  <si>
    <t>486.</t>
  </si>
  <si>
    <t>QianC</t>
  </si>
  <si>
    <t>Zhou, Yitao</t>
  </si>
  <si>
    <t>487.</t>
  </si>
  <si>
    <t>Dubs</t>
  </si>
  <si>
    <t>Daniel Walsh</t>
  </si>
  <si>
    <t>488.</t>
  </si>
  <si>
    <t>RpK</t>
  </si>
  <si>
    <t>Cédric Guipouy</t>
  </si>
  <si>
    <t>489.</t>
  </si>
  <si>
    <t>rezon ay</t>
  </si>
  <si>
    <t>Lennard Sill</t>
  </si>
  <si>
    <t>490.</t>
  </si>
  <si>
    <t>xertioN</t>
  </si>
  <si>
    <t>Dorian Berman</t>
  </si>
  <si>
    <t>491.</t>
  </si>
  <si>
    <t>Nayte</t>
  </si>
  <si>
    <t>Nathan Berquignol</t>
  </si>
  <si>
    <t>492.</t>
  </si>
  <si>
    <t>Limmp</t>
  </si>
  <si>
    <t>Linus Blomdin</t>
  </si>
  <si>
    <t>493.</t>
  </si>
  <si>
    <t>Blank</t>
  </si>
  <si>
    <t>Kang, Sun Gu</t>
  </si>
  <si>
    <t>494.</t>
  </si>
  <si>
    <t>hAKIS</t>
  </si>
  <si>
    <t>John Håkansson</t>
  </si>
  <si>
    <t>495.</t>
  </si>
  <si>
    <t>JiuWei</t>
  </si>
  <si>
    <t>Xu, Xinzhen</t>
  </si>
  <si>
    <t>496.</t>
  </si>
  <si>
    <t>John</t>
  </si>
  <si>
    <t>Johnathan Perez</t>
  </si>
  <si>
    <t>497.</t>
  </si>
  <si>
    <t>Uzi</t>
  </si>
  <si>
    <t>Jian, Zihao</t>
  </si>
  <si>
    <t>498.</t>
  </si>
  <si>
    <t>Ambition</t>
  </si>
  <si>
    <t>Kang, Chan Yong</t>
  </si>
  <si>
    <t>499.</t>
  </si>
  <si>
    <t>interz</t>
  </si>
  <si>
    <t>Timofey Yakushin</t>
  </si>
  <si>
    <t>500.</t>
  </si>
  <si>
    <t>Xxiao</t>
  </si>
  <si>
    <t>Zheng, Qi</t>
  </si>
  <si>
    <t xml:space="preserve">Name </t>
  </si>
  <si>
    <t>Total Prize Pool ($)</t>
  </si>
  <si>
    <t>Number of Players</t>
  </si>
  <si>
    <t>The average amount of prize money per player</t>
  </si>
  <si>
    <t>The average prize pool for the tournament</t>
  </si>
  <si>
    <t>VALORANT</t>
  </si>
  <si>
    <t>Mobile Legends: Bang Bang</t>
  </si>
  <si>
    <t>Free Fire</t>
  </si>
  <si>
    <t>Heroes of the Storm</t>
  </si>
  <si>
    <t>COUNTA из Player ID</t>
  </si>
  <si>
    <t>COUNT из Total (Game) ($)</t>
  </si>
  <si>
    <t>100k–500k</t>
  </si>
  <si>
    <t>1M–5M</t>
  </si>
  <si>
    <t>500k–1M</t>
  </si>
  <si>
    <t>5M+</t>
  </si>
  <si>
    <t>Average income ($)</t>
  </si>
  <si>
    <t>The median</t>
  </si>
  <si>
    <t>The sum of all prize money ($)</t>
  </si>
  <si>
    <t>The sum of prize money of the top 10 players</t>
  </si>
  <si>
    <t>The share of the top 10 players</t>
  </si>
  <si>
    <t>The share of the top 100 players</t>
  </si>
  <si>
    <t>Number of players with a total income of "5M+"</t>
  </si>
  <si>
    <t>Number of players with total income of "1M–5M"</t>
  </si>
  <si>
    <t>Number of players with a total income of "500k–1M"</t>
  </si>
  <si>
    <t>Number of players with a total income of "100k-500k"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</si>
</sst>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6" sheet="Топ игроков"/>
  </cacheSource>
  <cacheFields>
    <cacheField name=" " numFmtId="0">
      <sharedItems containsBlank="1">
        <s v="1."/>
        <s v="2."/>
        <s v="3."/>
        <s v="4."/>
        <s v="5."/>
        <s v="6."/>
        <s v="7."/>
        <s v="8."/>
        <s v="9."/>
        <s v="10."/>
        <s v="11."/>
        <s v="12."/>
        <s v="13."/>
        <s v="14."/>
        <s v="15."/>
        <s v="16."/>
        <s v="17."/>
        <s v="18."/>
        <s v="19."/>
        <s v="20."/>
        <s v="21."/>
        <s v="22."/>
        <s v="23."/>
        <s v="24."/>
        <s v="25."/>
        <s v="26."/>
        <s v="27."/>
        <s v="28."/>
        <s v="29."/>
        <s v="30."/>
        <s v="31."/>
        <s v="32."/>
        <s v="33."/>
        <s v="34."/>
        <s v="35."/>
        <s v="36."/>
        <s v="37."/>
        <s v="38."/>
        <s v="39."/>
        <s v="40."/>
        <s v="41."/>
        <s v="42."/>
        <s v="43."/>
        <s v="44."/>
        <s v="45."/>
        <s v="46."/>
        <s v="47."/>
        <s v="48."/>
        <s v="49."/>
        <s v="50."/>
        <s v="51."/>
        <s v="52."/>
        <s v="53."/>
        <s v="54."/>
        <s v="55."/>
        <s v="56."/>
        <s v="57."/>
        <s v="58."/>
        <s v="59."/>
        <s v="60."/>
        <s v="61."/>
        <s v="62."/>
        <s v="63."/>
        <s v="64."/>
        <s v="65."/>
        <s v="66."/>
        <s v="67."/>
        <s v="68."/>
        <s v="69."/>
        <s v="70."/>
        <s v="71."/>
        <s v="72."/>
        <s v="73."/>
        <s v="74."/>
        <s v="75."/>
        <s v="76."/>
        <s v="77."/>
        <s v="78."/>
        <s v="79."/>
        <s v="80."/>
        <s v="81."/>
        <s v="82."/>
        <s v="83."/>
        <s v="84."/>
        <s v="85."/>
        <s v="86."/>
        <s v="87."/>
        <s v="88."/>
        <s v="89."/>
        <s v="90."/>
        <s v="91."/>
        <s v="92."/>
        <s v="93."/>
        <s v="94."/>
        <s v="95."/>
        <s v="96."/>
        <s v="97."/>
        <s v="98."/>
        <s v="99."/>
        <s v="100."/>
        <s v="101."/>
        <s v="102."/>
        <s v="103."/>
        <s v="104."/>
        <s v="105."/>
        <s v="106."/>
        <s v="107."/>
        <s v="108."/>
        <s v="109."/>
        <s v="110."/>
        <s v="111."/>
        <s v="112."/>
        <s v="113."/>
        <s v="114."/>
        <s v="115."/>
        <s v="116."/>
        <s v="117."/>
        <s v="118."/>
        <s v="119."/>
        <s v="120."/>
        <s v="121."/>
        <s v="122."/>
        <s v="123."/>
        <s v="124."/>
        <s v="125."/>
        <s v="126."/>
        <s v="127."/>
        <s v="128."/>
        <s v="129."/>
        <s v="130."/>
        <s v="131."/>
        <s v="132."/>
        <s v="133."/>
        <s v="134."/>
        <s v="135."/>
        <s v="136."/>
        <s v="137."/>
        <s v="138."/>
        <s v="139."/>
        <s v="140."/>
        <s v="141."/>
        <s v="142."/>
        <s v="143."/>
        <s v="144."/>
        <s v="145."/>
        <s v="146."/>
        <s v="147."/>
        <s v="148."/>
        <s v="149."/>
        <s v="150."/>
        <s v="151."/>
        <s v="152."/>
        <s v="153."/>
        <s v="154."/>
        <s v="155."/>
        <s v="156."/>
        <s v="157."/>
        <s v="158."/>
        <s v="159."/>
        <s v="160."/>
        <s v="161."/>
        <s v="162."/>
        <s v="163."/>
        <s v="164."/>
        <s v="165."/>
        <s v="166."/>
        <s v="167."/>
        <s v="168."/>
        <s v="169."/>
        <s v="170."/>
        <s v="171."/>
        <s v="172."/>
        <s v="173."/>
        <s v="174."/>
        <s v="175."/>
        <s v="176."/>
        <s v="177."/>
        <s v="178."/>
        <s v="179."/>
        <s v="180."/>
        <s v="181."/>
        <s v="182."/>
        <s v="183."/>
        <s v="184."/>
        <s v="185."/>
        <s v="186."/>
        <s v="187."/>
        <s v="188."/>
        <s v="189."/>
        <s v="190."/>
        <s v="191."/>
        <s v="192."/>
        <s v="193."/>
        <s v="194."/>
        <s v="195."/>
        <s v="196."/>
        <s v="197."/>
        <s v="198."/>
        <s v="199."/>
        <s v="200."/>
        <s v="201."/>
        <s v="202."/>
        <s v="203."/>
        <s v="204."/>
        <s v="205."/>
        <s v="206."/>
        <s v="207."/>
        <s v="208."/>
        <s v="209."/>
        <s v="210."/>
        <s v="211."/>
        <s v="212."/>
        <s v="213."/>
        <s v="214."/>
        <s v="215."/>
        <s v="216."/>
        <s v="217."/>
        <s v="218."/>
        <s v="219."/>
        <s v="220."/>
        <s v="221."/>
        <s v="222."/>
        <s v="223."/>
        <s v="224."/>
        <s v="225."/>
        <s v="226."/>
        <s v="227."/>
        <s v="228."/>
        <s v="229."/>
        <s v="230."/>
        <s v="231."/>
        <s v="232."/>
        <s v="233."/>
        <s v="234."/>
        <s v="235."/>
        <s v="236."/>
        <s v="237."/>
        <s v="238."/>
        <s v="239."/>
        <s v="240."/>
        <s v="241."/>
        <s v="242."/>
        <s v="243."/>
        <s v="244."/>
        <s v="245."/>
        <s v="246."/>
        <s v="247."/>
        <s v="248."/>
        <s v="249."/>
        <s v="250."/>
        <s v="251."/>
        <s v="252."/>
        <s v="253."/>
        <s v="254."/>
        <s v="255."/>
        <s v="256."/>
        <s v="257."/>
        <s v="258."/>
        <s v="259."/>
        <s v="260."/>
        <s v="261."/>
        <s v="262."/>
        <s v="263."/>
        <s v="264."/>
        <s v="265."/>
        <s v="266."/>
        <s v="267."/>
        <s v="268."/>
        <s v="269."/>
        <s v="270."/>
        <s v="271."/>
        <s v="272."/>
        <s v="273."/>
        <s v="274."/>
        <s v="275."/>
        <s v="276."/>
        <s v="277."/>
        <s v="278."/>
        <s v="279."/>
        <s v="280."/>
        <s v="281."/>
        <s v="282."/>
        <s v="283."/>
        <s v="284."/>
        <s v="285."/>
        <s v="286."/>
        <s v="287."/>
        <s v="288."/>
        <s v="289."/>
        <s v="290."/>
        <s v="291."/>
        <s v="292."/>
        <s v="293."/>
        <s v="294."/>
        <s v="295."/>
        <s v="296."/>
        <s v="297."/>
        <s v="298."/>
        <s v="299."/>
        <s v="300."/>
        <s v="301."/>
        <s v="302."/>
        <s v="303."/>
        <s v="304."/>
        <s v="305."/>
        <s v="306."/>
        <s v="307."/>
        <s v="308."/>
        <s v="309."/>
        <s v="310."/>
        <s v="311."/>
        <s v="312."/>
        <s v="313."/>
        <s v="314."/>
        <s v="315."/>
        <s v="316."/>
        <s v="317."/>
        <s v="318."/>
        <s v="319."/>
        <s v="320."/>
        <s v="321."/>
        <s v="322."/>
        <s v="323."/>
        <s v="324."/>
        <s v="325."/>
        <s v="326."/>
        <s v="327."/>
        <s v="328."/>
        <s v="329."/>
        <s v="330."/>
        <s v="331."/>
        <s v="332."/>
        <s v="333."/>
        <s v="334."/>
        <s v="335."/>
        <s v="336."/>
        <s v="337."/>
        <s v="338."/>
        <s v="339."/>
        <s v="340."/>
        <s v="341."/>
        <s v="342."/>
        <s v="343."/>
        <s v="344."/>
        <s v="345."/>
        <s v="346."/>
        <s v="347."/>
        <s v="348."/>
        <s v="349."/>
        <s v="350."/>
        <s v="351."/>
        <s v="352."/>
        <s v="353."/>
        <s v="354."/>
        <s v="355."/>
        <s v="356."/>
        <s v="357."/>
        <s v="358."/>
        <s v="359."/>
        <s v="360."/>
        <s v="361."/>
        <s v="362."/>
        <s v="363."/>
        <s v="364."/>
        <s v="365."/>
        <s v="366."/>
        <s v="367."/>
        <s v="368."/>
        <s v="369."/>
        <s v="370."/>
        <s v="371."/>
        <s v="372."/>
        <s v="373."/>
        <s v="374."/>
        <s v="375."/>
        <s v="376."/>
        <s v="377."/>
        <s v="378."/>
        <s v="379."/>
        <s v="380."/>
        <s v="381."/>
        <s v="382."/>
        <s v="383."/>
        <s v="384."/>
        <s v="385."/>
        <s v="386."/>
        <s v="387."/>
        <s v="388."/>
        <s v="389."/>
        <s v="390."/>
        <s v="391."/>
        <s v="392."/>
        <s v="393."/>
        <s v="394."/>
        <s v="395."/>
        <s v="396."/>
        <s v="397."/>
        <s v="398."/>
        <s v="399."/>
        <s v="400."/>
        <s v="401."/>
        <s v="402."/>
        <s v="403."/>
        <s v="404."/>
        <s v="405."/>
        <s v="406."/>
        <s v="407."/>
        <s v="408."/>
        <s v="409."/>
        <s v="410."/>
        <s v="411."/>
        <s v="412."/>
        <s v="413."/>
        <s v="414."/>
        <s v="415."/>
        <s v="416."/>
        <s v="417."/>
        <s v="418."/>
        <s v="419."/>
        <s v="420."/>
        <s v="421."/>
        <s v="422."/>
        <s v="423."/>
        <s v="424."/>
        <s v="425."/>
        <s v="426."/>
        <s v="427."/>
        <s v="428."/>
        <s v="429."/>
        <s v="430."/>
        <s v="431."/>
        <s v="432."/>
        <s v="433."/>
        <s v="434."/>
        <s v="435."/>
        <s v="436."/>
        <s v="437."/>
        <s v="438."/>
        <s v="439."/>
        <s v="440."/>
        <s v="441."/>
        <s v="442."/>
        <s v="443."/>
        <s v="444."/>
        <s v="445."/>
        <s v="446."/>
        <s v="447."/>
        <s v="448."/>
        <s v="449."/>
        <s v="450."/>
        <s v="451."/>
        <s v="452."/>
        <s v="453."/>
        <s v="454."/>
        <s v="455."/>
        <s v="456."/>
        <s v="457."/>
        <s v="458."/>
        <s v="459."/>
        <s v="460."/>
        <s v="461."/>
        <s v="462."/>
        <s v="463."/>
        <s v="464."/>
        <s v="465."/>
        <s v="466."/>
        <s v="467."/>
        <s v="468."/>
        <s v="469."/>
        <s v="470."/>
        <s v="471."/>
        <s v="472."/>
        <s v="473."/>
        <s v="474."/>
        <s v="475."/>
        <s v="476."/>
        <s v="477."/>
        <s v="478."/>
        <s v="479."/>
        <s v="480."/>
        <s v="481."/>
        <s v="482."/>
        <s v="483."/>
        <s v="484."/>
        <s v="485."/>
        <s v="486."/>
        <s v="487."/>
        <s v="488."/>
        <s v="489."/>
        <s v="490."/>
        <s v="491."/>
        <s v="492."/>
        <s v="493."/>
        <s v="494."/>
        <s v="495."/>
        <s v="496."/>
        <s v="497."/>
        <s v="498."/>
        <s v="499."/>
        <s v="500."/>
        <m/>
      </sharedItems>
    </cacheField>
    <cacheField name="Player ID" numFmtId="0">
      <sharedItems containsBlank="1">
        <s v="N0tail"/>
        <s v="JerAx"/>
        <s v="Miposhka"/>
        <s v="ana"/>
        <s v="Ceb"/>
        <s v="Yatoro"/>
        <s v="Collapse"/>
        <s v="Topson"/>
        <s v="Mira"/>
        <s v="KuroKy"/>
        <s v="Miracle-"/>
        <s v="Matumbaman"/>
        <s v="MinD_ContRoL"/>
        <s v="TORONTOTOKYO"/>
        <s v="GH"/>
        <s v="Puppey"/>
        <s v="Ame"/>
        <s v="Zai"/>
        <s v="SumaiL"/>
        <s v="y`"/>
        <s v="Faith_bian"/>
        <s v="Nisha"/>
        <s v="Bugha"/>
        <s v="Saksa"/>
        <s v="33"/>
        <s v="Cr1t"/>
        <s v="Somnus"/>
        <s v="Sneyking"/>
        <s v="fy"/>
        <s v="UNiVeRsE"/>
        <s v="ppd"/>
        <s v="Skiter"/>
        <s v="Fly"/>
        <s v="s4"/>
        <s v="Arteezy"/>
        <s v="Fear"/>
        <s v="KaKa"/>
        <s v="XinQ"/>
        <s v="YapzOr"/>
        <s v="w33"/>
        <s v="dupreeh"/>
        <s v="RAMZES666"/>
        <s v="Aqua"/>
        <s v="Boxi"/>
        <s v="iNsania"/>
        <s v="miCKE"/>
        <s v="apEX"/>
        <s v="Ace"/>
        <s v="xNova"/>
        <s v="dev1ce"/>
        <s v="karrigan"/>
        <s v="Aui_2000"/>
        <s v="ropz"/>
        <s v="Noone"/>
        <s v="Resolut1on"/>
        <s v="Nine"/>
        <s v="Solo"/>
        <s v="Larl"/>
        <s v="Magisk"/>
        <s v="Chalice"/>
        <s v="Quinn"/>
        <s v="iceice"/>
        <s v="aBeZy"/>
        <s v="Xyp9x"/>
        <s v="Shadow"/>
        <s v="Yinuo"/>
        <s v="NothingToSay"/>
        <s v="gla1ve"/>
        <s v="bLink"/>
        <s v="psalm"/>
        <s v="Simp"/>
        <s v="HuaHai"/>
        <s v="Faker"/>
        <s v="MidOne"/>
        <s v="xiao8"/>
        <s v="rain"/>
        <s v="Serral"/>
        <s v="kpii"/>
        <s v="EpikWhale"/>
        <s v="iceiceice"/>
        <s v="Cellium"/>
        <s v="Twistzz"/>
        <s v="Faith"/>
        <s v="Super"/>
        <s v="Hao"/>
        <s v="NiKo"/>
        <s v="9pasha"/>
        <s v="s1mple"/>
        <s v="Cat"/>
        <s v="Pang"/>
        <s v="ZywOo"/>
        <s v="electroNic"/>
        <s v="1dao"/>
        <s v="Yu"/>
        <s v="Anas"/>
        <s v="MagnusCarlsen"/>
        <s v="old eLeVeN"/>
        <s v="Kami"/>
        <s v="QingRong"/>
        <s v="Nyhrox"/>
        <s v="Xxs"/>
        <s v="Monet"/>
        <s v="LaNm"/>
        <s v="Ori"/>
        <s v="Shotzzy"/>
        <s v="Alan"/>
        <s v="MiSeRy"/>
        <s v="B1t"/>
        <s v="dyrachYO"/>
        <s v="Kakeru"/>
        <s v="Arcitys"/>
        <s v="paraboy"/>
        <s v="tOfu"/>
        <s v="C6"/>
        <s v="YiZ"/>
        <s v="FATA"/>
        <s v="Fenrir"/>
        <s v="RodjER"/>
        <s v="Fanfan"/>
        <s v="Mu"/>
        <s v="Maru"/>
        <s v="Seleri"/>
        <s v="ZhongYi"/>
        <s v="Wolfiez"/>
        <s v="Th0masHD"/>
        <s v="DDC"/>
        <s v="ZiYang"/>
        <s v="CS"/>
        <s v="Zayt"/>
        <s v="FormaL"/>
        <s v="Order"/>
        <s v="NAF"/>
        <s v="Dy"/>
        <s v="ELiGE"/>
        <s v="NuanYang"/>
        <s v="XuanRan"/>
        <s v="FalleN"/>
        <s v="Sccc"/>
        <s v="Queasy"/>
        <s v="Jabz"/>
        <s v="Banana"/>
        <s v="TaySon"/>
        <s v="Jimmy"/>
        <s v="broky"/>
        <s v="sh1ro"/>
        <s v="Save-"/>
        <s v="ATF"/>
        <s v="Loki"/>
        <s v="Kreo"/>
        <s v="Paparazi"/>
        <s v="Kenny"/>
        <s v="Clayster"/>
        <s v="k1nG"/>
        <s v="kakip"/>
        <s v="Sylar"/>
        <s v="gpk"/>
        <s v="Setty"/>
        <s v="Moogy"/>
        <s v="Rojo"/>
        <s v="Saf"/>
        <s v="Ceice"/>
        <s v="Stewie2k"/>
        <s v="SanSheng"/>
        <s v="Perfecto"/>
        <s v="Dark"/>
        <s v="Scump"/>
        <s v="Oli"/>
        <s v="Yao"/>
        <s v="King"/>
        <s v="Boombl4"/>
        <s v="Envoy"/>
        <s v="Nightfall"/>
        <s v="BoBoKa"/>
        <s v="nitr0"/>
        <s v="Huke"/>
        <s v="MMY!"/>
        <s v="Hikaru"/>
        <s v="Malibuca"/>
        <s v="TanRan"/>
        <s v="MoonMeander"/>
        <s v="Rogue"/>
        <s v="TACO"/>
        <s v="XingYu"/>
        <s v="Kuku"/>
        <s v="DJ"/>
        <s v="flameZ"/>
        <s v="Q"/>
        <s v="fer"/>
        <s v="Whitemon"/>
        <s v="coldzera"/>
        <s v="flamie"/>
        <s v="ImperialHal"/>
        <s v="Ruler"/>
        <s v="Slasher"/>
        <s v="Mushi"/>
        <s v="Henry"/>
        <s v="KRiMZ"/>
        <s v="huNter"/>
        <s v="mero"/>
        <s v="Tims"/>
        <s v="Frosty"/>
        <s v="UMA"/>
        <s v="feg"/>
        <s v="sasamumu"/>
        <s v="Veno"/>
        <s v="M0nkey M00n"/>
        <s v="Crystallis"/>
        <s v="Drazah"/>
        <s v="pieliedie"/>
        <s v="Priestahh"/>
        <s v="Elevate"/>
        <s v="EternaLEnVy"/>
        <s v="Yang"/>
        <s v="SnakeBite"/>
        <s v="Dashy"/>
        <s v="mezii"/>
        <s v="Mohamed Light"/>
        <s v="Duke"/>
        <s v="snax"/>
        <s v="Royal 2"/>
        <s v="NoFear"/>
        <s v="N9"/>
        <s v="olofmeister"/>
        <s v="Lil"/>
        <s v="Chopper"/>
        <s v="NuoYan"/>
        <s v="DM"/>
        <s v="JW"/>
        <s v="Spinx"/>
        <s v="JackeyLove"/>
        <s v="Malr1ne"/>
        <s v="CleanX"/>
        <s v="ZiMo"/>
        <s v="Zy"/>
        <s v="Bang"/>
        <s v="Wolf"/>
        <s v="QingQing"/>
        <s v="PeterBot"/>
        <s v="Raven"/>
        <s v="Pio"/>
        <s v="Abed"/>
        <s v="GMWSO"/>
        <s v="Moo"/>
        <s v="Pure"/>
        <s v="BurNIng"/>
        <s v="ZQ"/>
        <s v="TGLTN"/>
        <s v="flusha"/>
        <s v="Insight"/>
        <s v="Octane"/>
        <s v="BenjyFishy"/>
        <s v="hwinn"/>
        <s v="Zayac"/>
        <s v="Shrimzy"/>
        <s v="Jaedong"/>
        <s v="Jwei"/>
        <s v="23savage"/>
        <s v="ESTH3R"/>
        <s v="Agressif"/>
        <s v="NBK"/>
        <s v="Skite"/>
        <s v="Clem"/>
        <s v="shox"/>
        <s v="HObbit"/>
        <s v="JannisZ"/>
        <s v="HyDra"/>
        <s v="fng"/>
        <s v="Aleksib"/>
        <s v="Nicolas99FC"/>
        <s v="Xiaohu"/>
        <s v="JT-"/>
        <s v="Karma"/>
        <s v="Ah-fu"/>
        <s v="JiuKu"/>
        <s v="Reynor"/>
        <s v="Mitr0"/>
        <s v="bzm"/>
        <s v="Dendi"/>
        <s v="DuBu"/>
        <s v="Zer0"/>
        <s v="m0NESY"/>
        <s v="Mlan"/>
        <s v="Acorn"/>
        <s v="GuardiaN"/>
        <s v="magixx"/>
        <s v="Bengi"/>
        <s v="SonicFox"/>
        <s v="MieRo"/>
        <s v="Atomic"/>
        <s v="rOtK"/>
        <s v="INnoVation"/>
        <s v="tarik"/>
        <s v="Peanut"/>
        <s v="Zeus"/>
        <s v="Shaiiko"/>
        <s v="Lethul"/>
        <s v="Arkhram"/>
        <s v="donk"/>
        <s v="Vejrgang"/>
        <s v="Adou"/>
        <s v="flyfly"/>
        <s v="Moon"/>
        <s v="CoreJJ"/>
        <s v="Cold"/>
        <s v="Jame"/>
        <s v="Caps"/>
        <s v="TeSeS"/>
        <s v="f0rest"/>
        <s v="Kismet"/>
        <s v="neo"/>
        <s v="Brollan"/>
        <s v="Suk"/>
        <s v="Umut"/>
        <s v="Chapix"/>
        <s v="TaZ"/>
        <s v="JinYu"/>
        <s v="Bance"/>
        <s v="WuMing"/>
        <s v="Peng"/>
        <s v="kennyS"/>
        <s v="frozen"/>
        <s v="Hen"/>
        <s v="Qfeng"/>
        <s v="ChuaN"/>
        <s v="Mongraal"/>
        <s v="sjuush"/>
        <s v="qc"/>
        <s v="merstachhh"/>
        <s v="Wisper"/>
        <s v="Skyz"/>
        <s v="SabeRLight-"/>
        <s v="Crue"/>
        <s v="Emo"/>
        <s v="TY"/>
        <s v="Byshow"/>
        <s v="MSdossary7"/>
        <s v="MSS"/>
        <s v="Edward"/>
        <s v="Scofield"/>
        <s v="MMing"/>
        <s v="pyw"/>
        <s v="zont1x"/>
        <s v="JKap"/>
        <s v="Aydan"/>
        <s v="cadiaN"/>
        <s v="jks"/>
        <s v="garder"/>
        <s v="Vatira"/>
        <s v="Loda"/>
        <s v="Inonix"/>
        <s v="Tfue"/>
        <s v="Cooper"/>
        <s v="Ethan"/>
        <s v="Flash"/>
        <s v="Khanada"/>
        <s v="Eco"/>
        <s v="Ax1Le"/>
        <s v="stavn"/>
        <s v="iLLeY"/>
        <s v="DaShuai"/>
        <s v="Canyon"/>
        <s v="Xz"/>
        <s v="herO"/>
        <s v="Zest"/>
        <s v="Beizhai"/>
        <s v="GAI"/>
        <s v="Armel"/>
        <s v="Impact"/>
        <s v="XiaoYing"/>
        <s v="TruleX"/>
        <s v="QiaoXi"/>
        <s v="StelluR"/>
        <s v="Classic"/>
        <s v="HuaJuan"/>
        <s v="Fade"/>
        <s v="Daniel"/>
        <s v="EGM"/>
        <s v="QianShi"/>
        <s v="Even"/>
        <s v="ubah"/>
        <s v="TekKz"/>
        <s v="Cammy"/>
        <s v="Solar"/>
        <s v="nafany"/>
        <s v="Lyn"/>
        <s v="sOs"/>
        <s v="Reps"/>
        <s v="Bizzle"/>
        <s v="Rookie"/>
        <s v="BriD"/>
        <s v="XBOCT"/>
        <s v="Knight"/>
        <s v="Ming"/>
        <s v="BeastMode"/>
        <s v="Kickstart"/>
        <s v="Meiko"/>
        <s v="Shiki"/>
        <s v="Vadeal"/>
        <s v="Keria"/>
        <s v="ByuN"/>
        <s v="Taiga"/>
        <s v="Viol2t"/>
        <s v="Akke"/>
        <s v="TheShy"/>
        <s v="Gachikun"/>
        <s v="soO"/>
        <s v="M1ME"/>
        <s v="Nannnnn"/>
        <s v="XingHen"/>
        <s v="Rush"/>
        <s v="Tommey"/>
        <s v="BuRan"/>
        <s v="AdmiralBulldog"/>
        <s v="Yisheng"/>
        <s v="Stats"/>
        <s v="Chovy"/>
        <s v="stompy"/>
        <s v="XANTARES"/>
        <s v="Taemin"/>
        <s v="YawaR"/>
        <s v="Kjaerbye"/>
        <s v="GeT_RiGhT"/>
        <s v="trk511"/>
        <s v="ZpYan1"/>
        <s v="pashaBiceps"/>
        <s v="Edgey"/>
        <s v="Prestinni"/>
        <s v="Qikert"/>
        <s v="GuiQi"/>
        <s v="Baolan"/>
        <s v="Clix"/>
        <s v="Attach"/>
        <s v="Febby"/>
        <s v="Tokido"/>
        <s v="Chris Luck"/>
        <s v="Pollo"/>
        <s v="PHzin"/>
        <s v="Mugi"/>
        <s v="chrisJ"/>
        <s v="Mikoto"/>
        <s v="ShenRen"/>
        <s v="Apathy"/>
        <s v="Seikoo"/>
        <s v="Oner"/>
        <s v="Inflame"/>
        <s v="Gumayusi"/>
        <s v="yANXNZ"/>
        <s v="Ferrari_430"/>
        <s v="FengJie"/>
        <s v="Ning"/>
        <s v="Verhulst"/>
        <s v="Scrappy"/>
        <s v="MP"/>
        <s v="HS"/>
        <s v="StingeR"/>
        <s v="QO"/>
        <s v="Kataomi`"/>
        <s v="Neeb"/>
        <s v="Rw9"/>
        <s v="369"/>
        <s v="天宇"/>
        <s v="Ohaiyo"/>
        <s v="PerkZ"/>
        <s v="JKnaps"/>
        <s v="Alpha54"/>
        <s v="Genburten"/>
        <s v="K1"/>
        <s v="Chicago"/>
        <s v="Chico"/>
        <s v="Renegade"/>
        <s v="byali"/>
        <s v="Firstkiller"/>
        <s v="Hurt"/>
        <s v="torzsi"/>
        <s v="Thijs"/>
        <s v="Karsa"/>
        <s v="Xm"/>
        <s v="LIP"/>
        <s v="MrSavage"/>
        <s v="Striker"/>
        <s v="Pred"/>
        <s v="old chicken"/>
        <s v="QianC"/>
        <s v="Dubs"/>
        <s v="RpK"/>
        <s v="rezon ay"/>
        <s v="xertioN"/>
        <s v="Nayte"/>
        <s v="Limmp"/>
        <s v="Blank"/>
        <s v="hAKIS"/>
        <s v="JiuWei"/>
        <s v="John"/>
        <s v="Uzi"/>
        <s v="Ambition"/>
        <s v="interz"/>
        <s v="Xxiao"/>
        <m/>
      </sharedItems>
    </cacheField>
    <cacheField name="Player Name" numFmtId="0">
      <sharedItems containsBlank="1">
        <s v="Johan Sundstein"/>
        <s v="Jesse Vainikka"/>
        <s v="Yaroslav Naidenov"/>
        <s v="Anathan Pham"/>
        <s v="Sébastien Debs"/>
        <s v="Ilya Mulyarchuk"/>
        <s v="Magomed Khalilov"/>
        <s v="Topias Taavitsainen"/>
        <s v="Miroslaw Kolpakov"/>
        <s v="Kuro Takhasomi"/>
        <s v="Amer Al-Barkawi"/>
        <s v="Lasse Urpalainen"/>
        <s v="Ivan Ivanov"/>
        <s v="Alexander Khertek"/>
        <s v="Maroun Merhej"/>
        <s v="Clement Ivanov"/>
        <s v="Wang, Chunyu"/>
        <s v="Ludwig Wåhlberg"/>
        <s v="Sumail Hassan"/>
        <s v="Zhang, Yiping"/>
        <s v="Zhang, Ruida"/>
        <s v="Michał Jankowski"/>
        <s v="Kyle Giersdorf"/>
        <s v="Martin Sazdov"/>
        <s v="Neta Shapira"/>
        <s v="Andreas Nielsen"/>
        <s v="Lu, Yao"/>
        <s v="Wu, Jingjun"/>
        <s v="Xu, Linsen"/>
        <s v="Saahil Arora"/>
        <s v="Peter Dager"/>
        <s v="Oliver Lepko"/>
        <s v="Tal Aizik"/>
        <s v="Gustav Magnusson"/>
        <s v="Artour Babaev"/>
        <s v="Clinton Loomis"/>
        <s v="Hu, Liangzhi"/>
        <s v="Zhao, Zixing"/>
        <s v="Yazied Jaradat"/>
        <s v="Aliwi Omar"/>
        <s v="Peter Rasmussen"/>
        <s v="Roman Kushnarev"/>
        <s v="David Wang"/>
        <s v="Samuel Svahn"/>
        <s v="Aydin Sarkohi"/>
        <s v="Michael Vu"/>
        <s v="Dan Madesclaire"/>
        <s v="Marcus Hoelgaard"/>
        <s v="Yap, Jian Wei"/>
        <s v="Nicolai Reedtz"/>
        <s v="Finn Andersen"/>
        <s v="Kurtis Ling"/>
        <s v="Robin Kool"/>
        <s v="Vladimir Minenko"/>
        <s v="Roman Fominok"/>
        <s v="Leon Kirilin"/>
        <s v="Aleksey Berezin"/>
        <s v="Denis Sigitov"/>
        <s v="Emil Reif"/>
        <s v="Yang, Shenyi"/>
        <s v="Quinn Callahan"/>
        <s v="Li, Peng"/>
        <s v="Tyler Pharris"/>
        <s v="Andreas Højsleth"/>
        <s v="Chu, Zeyu"/>
        <s v="Xu, Bicheng"/>
        <s v="Cheng, Jin Xiang"/>
        <s v="Lukas Rossander"/>
        <s v="Zhou, Yang"/>
        <s v="Harrison Chang"/>
        <s v="Christopher Lehr"/>
        <s v="Luo, Siyuan"/>
        <s v="Lee, Sang Hyeok"/>
        <s v="Zheng, Yeik Nai"/>
        <s v="Zhang, Ning"/>
        <s v="Håvard Nygaard"/>
        <s v="Joona Sotala"/>
        <s v="Damien Chok"/>
        <s v="Shane Cotton"/>
        <s v="Daryl Koh Pei Xiang"/>
        <s v="McArthur Jovel"/>
        <s v="Peng, Yunfei"/>
        <s v="Russel Van Dulken"/>
        <s v="Zeng, Hongda"/>
        <s v="Xie, Junhao"/>
        <s v="Chen, Zhihao"/>
        <s v="Nikola Kovač"/>
        <s v="Pavel Khvastunov"/>
        <s v="Oleksandr Kostyljev"/>
        <s v="Chen, Zhengzheng"/>
        <s v="Li, Daheng"/>
        <s v="Mathieu Herbaut"/>
        <s v="Denis Sharipov"/>
        <s v="Zhong, Letian"/>
        <s v="Cai, Youqi"/>
        <s v="Anas El-Abd"/>
        <s v="Magnus Carlsen"/>
        <s v="Ren, Yangwei"/>
        <s v="Michał Kamiński"/>
        <s v="Huang, Yaoqin"/>
        <s v="Emil Bergquist Pedersen"/>
        <s v="Lin Jing"/>
        <s v="Du, Peng"/>
        <s v="Zhang, Zhicheng"/>
        <s v="Zeng, Jiaoyang"/>
        <s v="Anthony Cuevas-Castro"/>
        <s v="Wang, Tianlong"/>
        <s v="Rasmus Fillipsen"/>
        <s v="Valeriy Vakhovskiy"/>
        <s v="Anton Shkredov"/>
        <s v="Unknown"/>
        <s v="Alec Sanderson"/>
        <s v="Zhu, Bocheng"/>
        <s v="Erik Engel"/>
        <s v="Ian Porter"/>
        <s v="Liu, Tianhao"/>
        <s v="Adrian Trinks"/>
        <s v="Lu, Chao"/>
        <s v="Vladimir Nikogosyan"/>
        <s v="Fan, Yang"/>
        <s v="Zhang, Pan"/>
        <s v="Cho, Sung Choo"/>
        <s v="Melchior Hillenkamp"/>
        <s v="Chen, Jiahao"/>
        <s v="Jaden Ashman"/>
        <s v="Thomas Høxbro Davidsen"/>
        <s v="Liang, Fa Ming"/>
        <s v="Xiang, Yang"/>
        <s v="Xie, Chengjun"/>
        <s v="Williams Aubin"/>
        <s v="Matthew Piper"/>
        <s v="Zeng, Zehai"/>
        <s v="Keith Markovic"/>
        <s v="Ding, Cong"/>
        <s v="Jonathan Jablonowski"/>
        <s v="Lin, Heng"/>
        <s v="Liu, Ming"/>
        <s v="Gabriel Toledo"/>
        <s v="Song, Chun"/>
        <s v="Aleksa Cvetkovic"/>
        <s v="Anucha Jirawong"/>
        <s v="Jiao, Wang"/>
        <s v="Tai Starčič"/>
        <s v="Xu, Yin-Jun"/>
        <s v="Helvijs Saukants"/>
        <s v="Dmitry Sokolov"/>
        <s v="Vitalie Melnic"/>
        <s v="Ammar Al-Assaf"/>
        <s v="Park, Jung Young"/>
        <s v="Nate Kou"/>
        <s v="Zhang, Chengjun"/>
        <s v="Kenneth Williams"/>
        <s v="James Eubanks"/>
        <s v="Thiago Bautista Lapp"/>
        <s v="Kakinuma, Hidema"/>
        <s v="Liu, Jiajun"/>
        <s v="Danil Skutin"/>
        <s v="Iwo Zając"/>
        <s v="Xu, Han"/>
        <s v="Dave Jong"/>
        <s v="Rocco Morales"/>
        <s v="Davis McClellan"/>
        <s v="Jakey Yip"/>
        <s v="Wang, Zhaohui"/>
        <s v="Ilya Zalutskiy"/>
        <s v="Park, Ryung Woo"/>
        <s v="Seth Abner"/>
        <s v="Chan, Chon Kien"/>
        <s v="Yao, Zhengzheng"/>
        <s v="Lin, Yi-en"/>
        <s v="Kirill Sergeyevich Mikhailov"/>
        <s v="Dylan Hannon"/>
        <s v="Egor Grigorenko"/>
        <s v="Ye, Zhibiao"/>
        <s v="Nicholas Cannella"/>
        <s v="Cuyler Garland"/>
        <s v="Lei, Zengrong"/>
        <s v="Hikaru Nakamura"/>
        <s v="Danila Yakovenko"/>
        <s v="Sun, Linwei"/>
        <s v="David Tan"/>
        <s v="Lee, Byung Ryul"/>
        <s v="Epitácio de Melo"/>
        <s v="Li, Yuhao"/>
        <s v="Kuku Palad"/>
        <s v="Djardel Jicko Mampusti"/>
        <s v="Shahar Shushan"/>
        <s v="Fu, Bin"/>
        <s v="Fernando Alvarenga"/>
        <s v="Matthew Filemon"/>
        <s v="Marcelo David"/>
        <s v="Egor Vasilyev"/>
        <s v="Philip Dosen"/>
        <s v="Park, Jae Hyuk"/>
        <s v="Austin Liddicoat"/>
        <s v="Chai, Yee Fung"/>
        <s v="Henry Leverette"/>
        <s v="Freddy Johansson"/>
        <s v="Nemanja Kovač"/>
        <s v="Matthew Faitel"/>
        <s v="Timothy Randrup"/>
        <s v="Bradley Bergstrom"/>
        <s v="Wang Yuan-hao"/>
        <s v="Okumoto, Ryutaro"/>
        <s v="Harry Pearson"/>
        <s v="Evan Rogez"/>
        <s v="Remco Arets"/>
        <s v="Zack Jordan"/>
        <s v="Johan Åström"/>
        <s v="Preston Greiner"/>
        <s v="Hayden Krueger"/>
        <s v="Jacky Mao"/>
        <s v="Zhou, Haiyang"/>
        <s v="Paul Duarte"/>
        <s v="Brandon Otell"/>
        <s v="Will Merriman"/>
        <s v="Mohamed Tarek"/>
        <s v="Lee, Ho Seong"/>
        <s v="Janusz Pogorzelski"/>
        <s v="Mathew Fiorante"/>
        <s v="Yang, Tao"/>
        <s v="Wang, Hao"/>
        <s v="Olof Kajbjer"/>
        <s v="Ilya Ilyuk"/>
        <s v="Leonid Vishnyakov"/>
        <s v="Guo, Guixin"/>
        <s v="Dmitrii Dorokhin"/>
        <s v="Jesper Wecksell"/>
        <s v="Lotan Giladi"/>
        <s v="Yu, Wenbo"/>
        <s v="Stanislav Potorak"/>
        <s v="Tobias Jønsson"/>
        <s v="Wu, Zhejie"/>
        <s v="Zhang, Ye"/>
        <s v="Bae, Jun Sik"/>
        <s v="Lee, Jae Wan"/>
        <s v="Wu, Jinxiang"/>
        <s v="Peter Kata"/>
        <s v="Marc Polo Luis Fausto"/>
        <s v="Cha, Seung Hoon"/>
        <s v="Abed Yusop"/>
        <s v="Wesley So"/>
        <s v="David Hull"/>
        <s v="Ivan Moskalenko"/>
        <s v="Xu, Zhilei"/>
        <s v="Zhang, Qian"/>
        <s v="James Giezen"/>
        <s v="Robin Rönnquist"/>
        <s v="Jamie Craven"/>
        <s v="Sam Larew"/>
        <s v="Benjy David Fish"/>
        <s v="Hunter Winn"/>
        <s v="Bakyt Emilzhanov"/>
        <s v="Tristan Nowicky"/>
        <s v="Lee, Jae Dong"/>
        <s v="Yang, Jiawei"/>
        <s v="Nuengnara Teeramahanon"/>
        <s v="Go, Jeong-wan"/>
        <s v="Sun, Zheng"/>
        <s v="Nathan Schmitt"/>
        <s v="Clément Danglot"/>
        <s v="Clément Desplanches"/>
        <s v="Richard Papillon"/>
        <s v="Abay Khassenov"/>
        <s v="Jannis Matwin"/>
        <s v="Paco Rusiewiez"/>
        <s v="Artsiom Barshak"/>
        <s v="Aleksi Virolainen"/>
        <s v="Nicolas Villalba"/>
        <s v="Li, Yuanhao"/>
        <s v="Thiay, Jun Wen"/>
        <s v="Damon Barlow"/>
        <s v="Chuan, Tue Soon"/>
        <s v="Wang, Tao"/>
        <s v="Riccardo Romiti"/>
        <s v="Dmitri Van de Vrie"/>
        <s v="Bozhidar Bozhilov"/>
        <s v="Danil Ishutin"/>
        <s v="Kim, Doo-young"/>
        <s v="Rhye Perry"/>
        <s v="Ilya Osipov"/>
        <s v="Peng, Junlan"/>
        <s v="Abdullah Akhras"/>
        <s v="Ladislav Kovács"/>
        <s v="Boris Vorobiev"/>
        <s v="Bae, Seong Ung"/>
        <s v="Dominique Mclean"/>
        <s v="Matvey Vasyunin"/>
        <s v="Massimo Franceschi"/>
        <s v="Bai, Fan"/>
        <s v="Lee, Shin Hyung"/>
        <s v="Tarik Celik"/>
        <s v="Han, Wang Ho"/>
        <s v="Danylo Teslenko"/>
        <s v="Stephane Lebleu"/>
        <s v="Tony Campbell"/>
        <s v="Diego Lima"/>
        <s v="Danil Kryshkovets"/>
        <s v="Anders Vejrgang"/>
        <s v="Jiang, Tao"/>
        <s v="Jin, Zhiyi"/>
        <s v="Jang, Jae Ho"/>
        <s v="Jo, Yong In"/>
        <s v="Joshua Butler"/>
        <s v="Dzhami Ali"/>
        <s v="Rasmus Borregaard Winther"/>
        <s v="René Madsen"/>
        <s v="Patrik Lindberg"/>
        <s v="Matthew Tinsley"/>
        <s v="Filip Kubski"/>
        <s v="Ludvig Brolin"/>
        <s v="Feng, Shujie"/>
        <s v="Umut Gültekin"/>
        <s v="Moussa Faour"/>
        <s v="Wiktor Wojtas"/>
        <s v="Xu, Xiangyu"/>
        <s v="Benjamin Bance"/>
        <s v="Zhang, Cong"/>
        <s v="Lu, Jiapeng"/>
        <s v="Kenny Schrub"/>
        <s v="David Čerňanský"/>
        <s v="Henrik Mclean"/>
        <s v="Du, Zhou"/>
        <s v="Wong, Hock Chuan"/>
        <s v="Kyle Jackson"/>
        <s v="Rasmus Beck"/>
        <s v="Xu, Jiajun"/>
        <s v="Andrej Piratov"/>
        <s v="Adrián Dobles"/>
        <s v="Cesar Bueno"/>
        <s v="Jonáš Volek"/>
        <s v="Theo Ferrer"/>
        <s v="Zhou, Yi"/>
        <s v="Jun, Tae Yang"/>
        <s v="Fang, Qingyou"/>
        <s v="Mossad Aldossary"/>
        <s v="Arif Anwar"/>
        <s v="Ioann Sukharev"/>
        <s v="Scofield leches Gomez"/>
        <s v="Chen, Yinan"/>
        <s v="Xiong, Jiahan"/>
        <s v="Myroslav Plakhotia"/>
        <s v="Jordan Kaplan"/>
        <s v="Aydan Conrad"/>
        <s v="Casper Møller"/>
        <s v="Justin Savage"/>
        <s v="Liu, Xinzhou"/>
        <s v="Axel Touret"/>
        <s v="Jonathan Berg"/>
        <s v="Na, Hee Joo"/>
        <s v="Turner Tenney"/>
        <s v="Cooper Smith"/>
        <s v="Ethan Arnold"/>
        <s v="Lee, Young Ho"/>
        <s v="Leon Khim"/>
        <s v="Kevin Smith"/>
        <s v="Sergey Rykhtorov"/>
        <s v="Martin Lund"/>
        <s v="Indervir Dhaliwal"/>
        <s v="Meng, Jiajun"/>
        <s v="Kim, Geon Bu"/>
        <s v="Chen, Zezhi"/>
        <s v="Kim, Joon Ho"/>
        <s v="Joo, Sung Wook"/>
        <s v="Ma, Run"/>
        <s v="Yang, Tingpu"/>
        <s v="Armel Paul Tabios"/>
        <s v="Jung, Eon Yeong"/>
        <s v="Tang, Jiajie"/>
        <s v="Nikola Krudulj"/>
        <s v="Zeng, Qinglong"/>
        <s v="Braedon Boettcher"/>
        <s v="Kim, Doh Woo"/>
        <s v="Wu, Yutao"/>
        <s v="Pan, Yi"/>
        <s v="Daniel Piecenski"/>
        <s v="Jerry Lundqvist"/>
        <s v="Zhou, Kuan"/>
        <s v="Zheng, Pengfei"/>
        <s v="Ivan Kapustin"/>
        <s v="Donovan Hunt"/>
        <s v="Cameron McKilligan"/>
        <s v="Kang, Min Soo"/>
        <s v="Vladislav Gorshkov"/>
        <s v="Park, Joon"/>
        <s v="Kim, Yoo Jin"/>
        <s v="Jordan Wolfe"/>
        <s v="Timothy Miller"/>
        <s v="Song, Eui Jin"/>
        <s v="Loïc Chongthep"/>
        <s v="Oleksandr Dashkevych"/>
        <s v="Zhuo, Ding"/>
        <s v="Chen, Haoming"/>
        <s v="Landon Konerman"/>
        <s v="Matt Smith"/>
        <s v="Tian, Ye"/>
        <s v="Huang, Jiwei"/>
        <s v="Alexander Schlik"/>
        <s v="Ryu, Min Seok"/>
        <s v="Byun, Hyun Woo"/>
        <s v="Tommy Le"/>
        <s v="Park, Min Ki"/>
        <s v="Joakim Akterhall"/>
        <s v="Kang, Seung Lok"/>
        <s v="Kanamori, Tsunehiro"/>
        <s v="Eu, Yoon Su"/>
        <s v="Austin Scherff"/>
        <s v="Li, Nanjiang"/>
        <s v="Wang, Keqin"/>
        <s v="Will Wierzba"/>
        <s v="Thomas Trewren"/>
        <s v="Ye, Kang"/>
        <s v="Henrik Ahnberg"/>
        <s v="Li, Ziwei"/>
        <s v="Kim, Dae Yeob"/>
        <s v="Jeong, Ji Hoon"/>
        <s v="Klaus Konstanzer"/>
        <s v="İsmailсan Dörtkardeş"/>
        <s v="Kang, Tae Min"/>
        <s v="Yawar Hassan"/>
        <s v="Markus Kjærbye"/>
        <s v="Christopher Alesund"/>
        <s v="Mohammed Alotaibi"/>
        <s v="Zhou, Pinyan"/>
        <s v="Jarosław Jarząbkowski"/>
        <s v="Ben Peterson"/>
        <s v="Preston Sanderson"/>
        <s v="Aleksei Golubev"/>
        <s v="Shuang, Xiaojun"/>
        <s v="Wang, Liuyi"/>
        <s v="Cody Conrod"/>
        <s v="Dillon Price"/>
        <s v="Kim, Yong Min"/>
        <s v="Taniguchi, Hajime"/>
        <s v="Jean Pierre Gonzales"/>
        <s v="Paulo Henrique Chaves"/>
        <s v="Christiaan de Jong"/>
        <s v="Rafli Fathur Rahman"/>
        <s v="Ma, Tengfei"/>
        <s v="Bryan Zhelyazkov"/>
        <s v="Enzo Grondein"/>
        <s v="Moon, Hyeon Joon"/>
        <s v="He, Yongzheng"/>
        <s v="Lee, Min Hyeong"/>
        <s v="Yan Xisto Nolasco"/>
        <s v="Luo, Feichi"/>
        <s v="Jiang, Longhui"/>
        <s v="Gao, Zhenning"/>
        <s v="Evan Verhulst"/>
        <s v="Thomas Ernst"/>
        <s v="Pyo, Noah"/>
        <s v="Wang, Yanwen"/>
        <s v="Steven Vargas"/>
        <s v="Kim, Sunyeob"/>
        <s v="Vladislav Semenov"/>
        <s v="Alex Sunderhaft"/>
        <s v="Saleh Bakhashwin"/>
        <s v="Bai, Jiahao"/>
        <s v="Zhang, Tianyu"/>
        <s v="Khoo, Chong Xin"/>
        <s v="Luka Perković"/>
        <s v="Jacob Knapman"/>
        <s v="Yanis Champenois"/>
        <s v="Noyan Ozkose"/>
        <s v="Hector Antonio Rodriguez"/>
        <s v="Reed Wilen"/>
        <s v="Jonathan Willette"/>
        <s v="Paweł Bieliński"/>
        <s v="Shi, Senming"/>
        <s v="Jason Corral"/>
        <s v="Xia, Shengqqin"/>
        <s v="Ádám Torzsás"/>
        <s v="Thijs Molendijk"/>
        <s v="Hung, Hau-Hsuan"/>
        <s v="Guo, Hongcheng"/>
        <s v="Lee, Jae Won"/>
        <s v="Martin Foss"/>
        <s v="Kwon, Nam Joo"/>
        <s v="Amer Zulbeari"/>
        <s v="Worawit Mekchai"/>
        <s v="Wang, Zhiyong"/>
        <s v="Zhou, Yitao"/>
        <s v="Daniel Walsh"/>
        <s v="Cédric Guipouy"/>
        <s v="Lennard Sill"/>
        <s v="Dorian Berman"/>
        <s v="Nathan Berquignol"/>
        <s v="Linus Blomdin"/>
        <s v="Kang, Sun Gu"/>
        <s v="John Håkansson"/>
        <s v="Xu, Xinzhen"/>
        <s v="Johnathan Perez"/>
        <s v="Jian, Zihao"/>
        <s v="Kang, Chan Yong"/>
        <s v="Timofey Yakushin"/>
        <s v="Zheng, Qi"/>
        <m/>
      </sharedItems>
    </cacheField>
    <cacheField name="Total (Overall) ($)" numFmtId="0">
      <sharedItems containsString="0" containsBlank="1" containsNumber="1">
        <n v="7184163.05"/>
        <n v="6486623.98"/>
        <n v="6227771.49"/>
        <n v="6024411.96"/>
        <n v="5949442.73"/>
        <n v="5932736.05"/>
        <n v="5928111.07"/>
        <n v="5898810.6"/>
        <n v="5638899.05"/>
        <n v="5295698.85"/>
        <n v="4913585.26"/>
        <n v="4873086.24"/>
        <n v="4704032.25"/>
        <n v="4539863.5"/>
        <n v="4359887.6"/>
        <n v="4345228.38"/>
        <n v="4303979.27"/>
        <n v="4292756.02"/>
        <n v="4137055.98"/>
        <n v="4048742.2"/>
        <n v="3958981.98"/>
        <n v="3791426.48"/>
        <n v="3784225.05"/>
        <n v="3659111.18"/>
        <n v="3413479.03"/>
        <n v="3351429.18"/>
        <n v="3311808.66"/>
        <n v="3306529.59"/>
        <n v="3159545.98"/>
        <n v="3057237.67"/>
        <n v="3029331.36"/>
        <n v="2955493.15"/>
        <n v="2886903.39"/>
        <n v="2749194.7"/>
        <n v="2714369.91"/>
        <n v="2564904.63"/>
        <n v="2548691.89"/>
        <n v="2304260.44"/>
        <n v="2298690.64"/>
        <n v="2294325.43"/>
        <n v="2225525.08"/>
        <n v="2207611.08"/>
        <n v="2197375.23"/>
        <n v="2186343.66"/>
        <n v="2184759.69"/>
        <n v="2175336.42"/>
        <n v="2158015.64"/>
        <n v="2156817.11"/>
        <n v="2146691.12"/>
        <n v="2135789.98"/>
        <n v="2112902.62"/>
        <n v="2073582.54"/>
        <n v="2072577.41"/>
        <n v="2070799.78"/>
        <n v="2063162.95"/>
        <n v="2058860.94"/>
        <n v="2053081.34"/>
        <n v="2047224.07"/>
        <n v="2046423.63"/>
        <n v="2040114.72"/>
        <n v="2016970.27"/>
        <n v="2005164.63"/>
        <n v="2003905.68"/>
        <n v="2003061.83"/>
        <n v="1982030.82"/>
        <n v="1981640.19"/>
        <n v="1978694.93"/>
        <n v="1965451.35"/>
        <n v="1960761.59"/>
        <n v="1959500.0"/>
        <n v="1951328.33"/>
        <n v="1941993.39"/>
        <n v="1922084.56"/>
        <n v="1896531.44"/>
        <n v="1877518.06"/>
        <n v="1872516.24"/>
        <n v="1866325.57"/>
        <n v="1865667.57"/>
        <n v="1857487.32"/>
        <n v="1812855.42"/>
        <n v="1795548.93"/>
        <n v="1788020.11"/>
        <n v="1777243.1"/>
        <n v="1764633.21"/>
        <n v="1764310.33"/>
        <n v="1761674.53"/>
        <n v="1752160.15"/>
        <n v="1733385.13"/>
        <n v="1723255.32"/>
        <n v="1716947.58"/>
        <n v="1696239.05"/>
        <n v="1670234.31"/>
        <n v="1669167.01"/>
        <n v="1668931.71"/>
        <n v="1631265.55"/>
        <n v="1622990.05"/>
        <n v="1571051.02"/>
        <n v="1570503.07"/>
        <n v="1563525.34"/>
        <n v="1544979.29"/>
        <n v="1543145.69"/>
        <n v="1538841.42"/>
        <n v="1535720.98"/>
        <n v="1529400.71"/>
        <n v="1527561.42"/>
        <n v="1523775.0"/>
        <n v="1508589.45"/>
        <n v="1505197.74"/>
        <n v="1461957.7"/>
        <n v="1455949.6"/>
        <n v="1455614.85"/>
        <n v="1428804.09"/>
        <n v="1426546.0"/>
        <n v="1423831.7"/>
        <n v="1418092.8"/>
        <n v="1417437.61"/>
        <n v="1410552.48"/>
        <n v="1406042.25"/>
        <n v="1404636.1"/>
        <n v="1403112.86"/>
        <n v="1390711.71"/>
        <n v="1386351.22"/>
        <n v="1382064.91"/>
        <n v="1376756.1"/>
        <n v="1368308.07"/>
        <n v="1363502.91"/>
        <n v="1344720.91"/>
        <n v="1338450.27"/>
        <n v="1335846.86"/>
        <n v="1331781.42"/>
        <n v="1323932.18"/>
        <n v="1322487.41"/>
        <n v="1312032.06"/>
        <n v="1309787.36"/>
        <n v="1306796.02"/>
        <n v="1306566.81"/>
        <n v="1290852.02"/>
        <n v="1287390.79"/>
        <n v="1287091.81"/>
        <n v="1284995.89"/>
        <n v="1283581.39"/>
        <n v="1283122.84"/>
        <n v="1269970.74"/>
        <n v="1263496.06"/>
        <n v="1257132.41"/>
        <n v="1255625.59"/>
        <n v="1250106.81"/>
        <n v="1245564.71"/>
        <n v="1245451.79"/>
        <n v="1244334.74"/>
        <n v="1242751.39"/>
        <n v="1238228.33"/>
        <n v="1233646.68"/>
        <n v="1230225.0"/>
        <n v="1228551.54"/>
        <n v="1226897.63"/>
        <n v="1226803.4"/>
        <n v="1224447.37"/>
        <n v="1221917.1"/>
        <n v="1215593.33"/>
        <n v="1210207.02"/>
        <n v="1209565.47"/>
        <n v="1208508.91"/>
        <n v="1207851.58"/>
        <n v="1198073.78"/>
        <n v="1194415.22"/>
        <n v="1193755.35"/>
        <n v="1193104.1"/>
        <n v="1192164.18"/>
        <n v="1189245.12"/>
        <n v="1167041.35"/>
        <n v="1157729.16"/>
        <n v="1156864.0"/>
        <n v="1149352.35"/>
        <n v="1117386.23"/>
        <n v="1113035.58"/>
        <n v="1111886.25"/>
        <n v="1108458.71"/>
        <n v="1107890.32"/>
        <n v="1107767.21"/>
        <n v="1103701.61"/>
        <n v="1101363.8"/>
        <n v="1096233.63"/>
        <n v="1096106.71"/>
        <n v="1094804.1"/>
        <n v="1091925.12"/>
        <n v="1087568.06"/>
        <n v="1081544.74"/>
        <n v="1078891.52"/>
        <n v="1068261.87"/>
        <n v="1065619.65"/>
        <n v="1041856.83"/>
        <n v="1040804.42"/>
        <n v="1035773.29"/>
        <n v="1034958.4"/>
        <n v="1028588.67"/>
        <n v="1028375.0"/>
        <n v="1026043.46"/>
        <n v="1022950.65"/>
        <n v="1018350.0"/>
        <n v="1018232.55"/>
        <n v="1006965.0"/>
        <n v="1005576.2"/>
        <n v="1003000.0"/>
        <n v="1000000.0"/>
        <n v="999937.96"/>
        <n v="998034.54"/>
        <n v="997531.92"/>
        <n v="997275.0"/>
        <n v="994746.71"/>
        <n v="994404.18"/>
        <n v="994373.2"/>
        <n v="992684.79"/>
        <n v="992463.55"/>
        <n v="975565.0"/>
        <n v="973272.99"/>
        <n v="961135.95"/>
        <n v="960808.01"/>
        <n v="959072.51"/>
        <n v="958719.12"/>
        <n v="957052.5"/>
        <n v="946978.56"/>
        <n v="942059.42"/>
        <n v="940855.42"/>
        <n v="940510.18"/>
        <n v="940351.78"/>
        <n v="938449.81"/>
        <n v="937118.14"/>
        <n v="931851.08"/>
        <n v="929518.33"/>
        <n v="926556.68"/>
        <n v="923562.93"/>
        <n v="920401.87"/>
        <n v="918862.6"/>
        <n v="917282.25"/>
        <n v="915941.68"/>
        <n v="913167.87"/>
        <n v="907265.97"/>
        <n v="906674.17"/>
        <n v="905759.42"/>
        <n v="905337.92"/>
        <n v="900796.69"/>
        <n v="900411.64"/>
        <n v="899311.33"/>
        <n v="896793.47"/>
        <n v="896625.35"/>
        <n v="892838.77"/>
        <n v="891143.25"/>
        <n v="888552.89"/>
        <n v="887682.26"/>
        <n v="886948.75"/>
        <n v="882337.52"/>
        <n v="880971.94"/>
        <n v="879784.52"/>
        <n v="878913.44"/>
        <n v="876398.79"/>
        <n v="875697.77"/>
        <n v="872580.26"/>
        <n v="871858.71"/>
        <n v="871452.21"/>
        <n v="870287.26"/>
        <n v="870019.77"/>
        <n v="862707.39"/>
        <n v="858303.99"/>
        <n v="858161.12"/>
        <n v="857417.41"/>
        <n v="856550.69"/>
        <n v="853120.41"/>
        <n v="851741.03"/>
        <n v="851431.49"/>
        <n v="850114.07"/>
        <n v="844446.32"/>
        <n v="842837.25"/>
        <n v="840619.35"/>
        <n v="838964.57"/>
        <n v="834459.73"/>
        <n v="830344.81"/>
        <n v="829289.3"/>
        <n v="828082.53"/>
        <n v="823849.65"/>
        <n v="822260.56"/>
        <n v="814767.61"/>
        <n v="814686.33"/>
        <n v="813977.39"/>
        <n v="812938.18"/>
        <n v="811501.66"/>
        <n v="810882.84"/>
        <n v="809747.54"/>
        <n v="807151.6"/>
        <n v="801652.05"/>
        <n v="800232.07"/>
        <n v="799192.66"/>
        <n v="797339.21"/>
        <n v="793351.93"/>
        <n v="792585.87"/>
        <n v="792541.49"/>
        <n v="792021.25"/>
        <n v="791861.68"/>
        <n v="791619.6"/>
        <n v="790987.09"/>
        <n v="788982.06"/>
        <n v="787184.65"/>
        <n v="782559.43"/>
        <n v="782465.36"/>
        <n v="770425.0"/>
        <n v="770327.22"/>
        <n v="767619.84"/>
        <n v="764790.92"/>
        <n v="763991.04"/>
        <n v="763833.33"/>
        <n v="762311.73"/>
        <n v="762025.84"/>
        <n v="760414.34"/>
        <n v="756907.63"/>
        <n v="755193.13"/>
        <n v="748924.02"/>
        <n v="748529.03"/>
        <n v="748429.94"/>
        <n v="748209.82"/>
        <n v="746670.71"/>
        <n v="746091.36"/>
        <n v="742931.99"/>
        <n v="741565.84"/>
        <n v="741420.61"/>
        <n v="741416.26"/>
        <n v="739729.23"/>
        <n v="736547.36"/>
        <n v="736226.13"/>
        <n v="736131.79"/>
        <n v="735947.87"/>
        <n v="734525.0"/>
        <n v="730227.57"/>
        <n v="728500.0"/>
        <n v="728235.9"/>
        <n v="727444.42"/>
        <n v="724667.0"/>
        <n v="724097.02"/>
        <n v="723577.98"/>
        <n v="721868.24"/>
        <n v="721423.07"/>
        <n v="720366.12"/>
        <n v="717764.82"/>
        <n v="714263.47"/>
        <n v="714188.81"/>
        <n v="711936.69"/>
        <n v="708873.01"/>
        <n v="706851.43"/>
        <n v="705536.2"/>
        <n v="705260.74"/>
        <n v="705204.72"/>
        <n v="703435.17"/>
        <n v="702825.01"/>
        <n v="702342.5"/>
        <n v="701647.05"/>
        <n v="700820.76"/>
        <n v="699624.67"/>
        <n v="697650.0"/>
        <n v="696999.76"/>
        <n v="696912.63"/>
        <n v="696553.33"/>
        <n v="693089.36"/>
        <n v="692839.49"/>
        <n v="692327.42"/>
        <n v="690347.49"/>
        <n v="690082.59"/>
        <n v="689790.82"/>
        <n v="688016.28"/>
        <n v="687905.69"/>
        <n v="686649.73"/>
        <n v="686023.18"/>
        <n v="685937.0"/>
        <n v="684334.96"/>
        <n v="683050.0"/>
        <n v="682687.26"/>
        <n v="681112.54"/>
        <n v="680524.49"/>
        <n v="677986.71"/>
        <n v="677630.08"/>
        <n v="677281.37"/>
        <n v="676528.1"/>
        <n v="676467.77"/>
        <n v="672494.8"/>
        <n v="671650.0"/>
        <n v="669945.0"/>
        <n v="669061.73"/>
        <n v="668434.36"/>
        <n v="665449.84"/>
        <n v="665059.65"/>
        <n v="664776.39"/>
        <n v="664528.8"/>
        <n v="664125.67"/>
        <n v="663158.09"/>
        <n v="661936.39"/>
        <n v="661496.32"/>
        <n v="661424.35"/>
        <n v="658509.19"/>
        <n v="653537.31"/>
        <n v="653514.33"/>
        <n v="653192.8"/>
        <n v="652893.12"/>
        <n v="651766.17"/>
        <n v="651478.86"/>
        <n v="651349.29"/>
        <n v="648738.7"/>
        <n v="647773.33"/>
        <n v="646084.53"/>
        <n v="645423.06"/>
        <n v="641695.19"/>
        <n v="641141.6"/>
        <n v="640260.5"/>
        <n v="640176.87"/>
        <n v="640049.28"/>
        <n v="638676.45"/>
        <n v="638187.73"/>
        <n v="637692.16"/>
        <n v="637665.08"/>
        <n v="635484.67"/>
        <n v="634421.94"/>
        <n v="632910.93"/>
        <n v="632268.84"/>
        <n v="630136.6"/>
        <n v="627146.93"/>
        <n v="626721.76"/>
        <n v="626119.12"/>
        <n v="625229.63"/>
        <n v="625065.15"/>
        <n v="622638.15"/>
        <n v="622473.43"/>
        <n v="621616.63"/>
        <n v="620972.51"/>
        <n v="619658.35"/>
        <n v="619137.79"/>
        <n v="617898.35"/>
        <n v="616244.35"/>
        <n v="613805.68"/>
        <n v="611364.54"/>
        <n v="611125.0"/>
        <n v="610235.02"/>
        <n v="608918.88"/>
        <n v="608724.32"/>
        <n v="608522.71"/>
        <n v="606346.53"/>
        <n v="605618.93"/>
        <n v="605530.18"/>
        <n v="604158.99"/>
        <n v="601854.15"/>
        <n v="601721.4"/>
        <n v="598528.98"/>
        <n v="597877.06"/>
        <n v="597404.53"/>
        <n v="596966.58"/>
        <n v="595966.66"/>
        <n v="594200.0"/>
        <n v="592676.77"/>
        <n v="592619.22"/>
        <n v="592510.78"/>
        <n v="591322.79"/>
        <n v="590561.2"/>
        <n v="589720.96"/>
        <n v="588649.44"/>
        <n v="588115.4"/>
        <n v="587341.09"/>
        <n v="586016.52"/>
        <n v="585736.6"/>
        <n v="585513.45"/>
        <n v="585503.21"/>
        <n v="585098.46"/>
        <n v="584841.68"/>
        <n v="584640.38"/>
        <n v="584428.18"/>
        <n v="583875.0"/>
        <n v="583489.51"/>
        <n v="582384.84"/>
        <n v="582258.72"/>
        <n v="581507.86"/>
        <n v="580551.22"/>
        <n v="579189.66"/>
        <n v="575459.59"/>
        <n v="574373.58"/>
        <n v="573689.79"/>
        <n v="572350.18"/>
        <n v="571305.19"/>
        <n v="570580.0"/>
        <n v="567507.34"/>
        <n v="567040.77"/>
        <n v="566501.37"/>
        <n v="566279.99"/>
        <n v="562227.09"/>
        <n v="562085.9"/>
        <n v="560943.99"/>
        <n v="560308.75"/>
        <n v="559619.65"/>
        <n v="559518.75"/>
        <n v="558094.68"/>
        <n v="557849.05"/>
        <n v="555499.59"/>
        <n v="553869.6"/>
        <n v="553454.41"/>
        <n v="553226.34"/>
        <n v="551231.84"/>
        <m/>
      </sharedItems>
    </cacheField>
    <cacheField name="Highest Paying Game" numFmtId="0">
      <sharedItems containsBlank="1">
        <s v="Dota 2"/>
        <s v="Fortnite"/>
        <s v="Counter-Strike: Global Offensive"/>
        <s v="Call of Duty: Black Ops Cold War"/>
        <s v="Arena of Valor"/>
        <s v="League of Legends"/>
        <s v="StarCraft II"/>
        <s v="Counter-Strike 2"/>
        <s v="chess24"/>
        <s v="Call of Duty: Modern Warfare"/>
        <s v="Street Fighter 6"/>
        <s v="PLAYERUNKNOWN'S BATTLEGROUNDS Mobile"/>
        <s v="Halo Infinite"/>
        <s v="PLAYERUNKNOWN’S BATTLEGROUNDS"/>
        <s v="Call of Duty: Vanguard"/>
        <s v="Shadowverse"/>
        <s v="Call of Duty: Infinite Warfare"/>
        <s v="Chess.com"/>
        <s v="Apex Legends"/>
        <s v="Call of Duty: Black Ops III"/>
        <s v="Madden NFL 22"/>
        <s v="Halo 5: Guardians"/>
        <s v="Rocket League"/>
        <s v="Call of Duty: Modern Warfare II"/>
        <s v="Call of Duty: Modern Warfare III"/>
        <s v="Clash Royale"/>
        <s v="CrossFire"/>
        <s v="StarCraft: Brood War"/>
        <s v="FIFA 19"/>
        <s v="Mortal Kombat X"/>
        <s v="Rainbow Six Siege"/>
        <s v="EA Sports FC 24"/>
        <s v="WarCraft III"/>
        <s v="FIFA 22"/>
        <s v="FIFA 18"/>
        <s v="Call of Duty: Warzone"/>
        <s v="Overwatch"/>
        <s v="Call of Duty: Black Ops 4"/>
        <s v="Call of Duty: Advanced Warfare"/>
        <s v="Street Fighter V: Arcade Edition"/>
        <s v="FIFA 23"/>
        <s v="Hearthstone"/>
        <m/>
      </sharedItems>
    </cacheField>
    <cacheField name="Total (Game) ($)" numFmtId="0">
      <sharedItems containsString="0" containsBlank="1" containsNumber="1">
        <n v="7172436.83"/>
        <n v="6486075.22"/>
        <n v="6227771.49"/>
        <n v="6024411.96"/>
        <n v="5949442.73"/>
        <n v="5932736.05"/>
        <n v="5928111.07"/>
        <n v="5898810.6"/>
        <n v="5638899.05"/>
        <n v="5293199.59"/>
        <n v="4913585.26"/>
        <n v="4873086.24"/>
        <n v="4704032.25"/>
        <n v="4539863.5"/>
        <n v="4359887.6"/>
        <n v="4343494.79"/>
        <n v="4303979.27"/>
        <n v="4272661.31"/>
        <n v="4137055.98"/>
        <n v="4048742.2"/>
        <n v="3958981.98"/>
        <n v="3791426.48"/>
        <n v="3771558.38"/>
        <n v="3659111.18"/>
        <n v="3413479.03"/>
        <n v="3351429.18"/>
        <n v="3311808.66"/>
        <n v="3305529.59"/>
        <n v="3159545.98"/>
        <n v="3057237.67"/>
        <n v="3001619.62"/>
        <n v="2955493.15"/>
        <n v="2869488.49"/>
        <n v="2744135.93"/>
        <n v="2714369.91"/>
        <n v="2562957.34"/>
        <n v="2548691.89"/>
        <n v="2304260.44"/>
        <n v="2298690.64"/>
        <n v="2294325.43"/>
        <n v="2181525.08"/>
        <n v="2207611.08"/>
        <n v="2192375.23"/>
        <n v="2144321.96"/>
        <n v="2133725.05"/>
        <n v="2127268.63"/>
        <n v="1298119.05"/>
        <n v="2156817.11"/>
        <n v="2146691.12"/>
        <n v="1981892.22"/>
        <n v="1651752.06"/>
        <n v="2073582.54"/>
        <n v="1181527.41"/>
        <n v="2070799.78"/>
        <n v="2063162.95"/>
        <n v="2058860.94"/>
        <n v="2053081.34"/>
        <n v="2047224.07"/>
        <n v="1881123.63"/>
        <n v="2040114.72"/>
        <n v="2015670.27"/>
        <n v="2005164.63"/>
        <n v="483750.0"/>
        <n v="2001391.93"/>
        <n v="1982030.82"/>
        <n v="1981640.19"/>
        <n v="1978694.93"/>
        <n v="1869687.1"/>
        <n v="1960761.59"/>
        <n v="1874588.8"/>
        <n v="500833.33"/>
        <n v="1941993.39"/>
        <n v="1922084.56"/>
        <n v="1896531.44"/>
        <n v="1870077.43"/>
        <n v="1444216.24"/>
        <n v="1866325.57"/>
        <n v="1865667.57"/>
        <n v="1857487.32"/>
        <n v="1810455.42"/>
        <n v="488750.0"/>
        <n v="1788020.11"/>
        <n v="1546793.1"/>
        <n v="1746056.72"/>
        <n v="1744279.68"/>
        <n v="1755233.44"/>
        <n v="1301037.58"/>
        <n v="1733385.13"/>
        <n v="1718355.32"/>
        <n v="1716947.58"/>
        <n v="1696239.05"/>
        <n v="852350.0"/>
        <n v="1558058.67"/>
        <n v="1668931.71"/>
        <n v="1631265.55"/>
        <n v="1622990.05"/>
        <n v="888242.12"/>
        <n v="1570503.07"/>
        <n v="1563525.34"/>
        <n v="1544979.29"/>
        <n v="1543145.69"/>
        <n v="1538841.42"/>
        <n v="1535720.98"/>
        <n v="1528948.03"/>
        <n v="1527561.42"/>
        <n v="355500.0"/>
        <n v="1508589.45"/>
        <n v="1502601.92"/>
        <n v="1050707.7"/>
        <n v="1455949.6"/>
        <n v="1453174.85"/>
        <n v="487500.0"/>
        <n v="1420546.0"/>
        <n v="1422817.33"/>
        <n v="353000.0"/>
        <n v="1417437.61"/>
        <n v="1410552.48"/>
        <n v="1406042.25"/>
        <n v="1404636.1"/>
        <n v="1403112.86"/>
        <n v="1386339.43"/>
        <n v="1386351.22"/>
        <n v="1382064.91"/>
        <n v="1376756.1"/>
        <n v="1368308.07"/>
        <n v="1363502.91"/>
        <n v="1336593.81"/>
        <n v="1338450.27"/>
        <n v="1335846.86"/>
        <n v="1204856.42"/>
        <n v="429400.0"/>
        <n v="1322487.41"/>
        <n v="1228382.06"/>
        <n v="1309787.36"/>
        <n v="1179846.02"/>
        <n v="1306566.81"/>
        <n v="1290852.02"/>
        <n v="1175586.54"/>
        <n v="1287091.81"/>
        <n v="1284995.89"/>
        <n v="1283581.39"/>
        <n v="1271085.0"/>
        <n v="1269970.74"/>
        <n v="1260162.73"/>
        <n v="828832.41"/>
        <n v="628100.59"/>
        <n v="1250106.81"/>
        <n v="1245564.71"/>
        <n v="1245451.79"/>
        <n v="1244334.74"/>
        <n v="1242751.39"/>
        <n v="410583.33"/>
        <n v="365500.0"/>
        <n v="1230075.0"/>
        <n v="1228551.54"/>
        <n v="1220842.58"/>
        <n v="1226803.4"/>
        <n v="1224447.37"/>
        <n v="1221917.1"/>
        <n v="1215593.33"/>
        <n v="1210207.02"/>
        <n v="1209565.47"/>
        <n v="1186573.2"/>
        <n v="1199016.08"/>
        <n v="1155970.78"/>
        <n v="1190791.27"/>
        <n v="261250.0"/>
        <n v="1193104.1"/>
        <n v="1186085.71"/>
        <n v="1189245.12"/>
        <n v="1098738.54"/>
        <n v="400000.0"/>
        <n v="1156864.0"/>
        <n v="1149352.35"/>
        <n v="1058468.13"/>
        <n v="345250.0"/>
        <n v="1099556.88"/>
        <n v="735419.25"/>
        <n v="1107890.32"/>
        <n v="1107767.21"/>
        <n v="1085826.18"/>
        <n v="1101219.22"/>
        <n v="1095886.48"/>
        <n v="1096106.71"/>
        <n v="1094804.1"/>
        <n v="1091925.12"/>
        <n v="1081544.74"/>
        <n v="1077986.54"/>
        <n v="1068261.87"/>
        <n v="1048601.46"/>
        <n v="1041119.41"/>
        <n v="1031054.42"/>
        <n v="1035773.29"/>
        <n v="231332.5"/>
        <n v="1028301.68"/>
        <n v="360000.0"/>
        <n v="963961.9"/>
        <n v="698500.65"/>
        <n v="1018350.0"/>
        <n v="1018232.55"/>
        <n v="582850.0"/>
        <n v="1005576.2"/>
        <n v="1003000.0"/>
        <n v="1000000.0"/>
        <n v="999937.96"/>
        <n v="998034.54"/>
        <n v="997531.92"/>
        <n v="398750.0"/>
        <n v="994746.71"/>
        <n v="369500.0"/>
        <n v="992233.2"/>
        <n v="992684.79"/>
        <n v="992463.55"/>
        <n v="581250.0"/>
        <n v="315000.0"/>
        <n v="835550.0"/>
        <n v="960808.01"/>
        <n v="959072.51"/>
        <n v="676987.89"/>
        <n v="946978.56"/>
        <n v="942059.42"/>
        <n v="937714.6"/>
        <n v="940510.18"/>
        <n v="667775.0"/>
        <n v="938449.81"/>
        <n v="937118.14"/>
        <n v="921251.68"/>
        <n v="507600.0"/>
        <n v="926556.68"/>
        <n v="923562.93"/>
        <n v="285625.0"/>
        <n v="918862.6"/>
        <n v="917282.25"/>
        <n v="915941.68"/>
        <n v="913167.87"/>
        <n v="907265.97"/>
        <n v="906674.17"/>
        <n v="905759.42"/>
        <n v="905337.92"/>
        <n v="900796.69"/>
        <n v="453497.21"/>
        <n v="899311.33"/>
        <n v="896793.47"/>
        <n v="865896.21"/>
        <n v="892838.77"/>
        <n v="890343.25"/>
        <n v="887302.89"/>
        <n v="286750.0"/>
        <n v="382500.0"/>
        <n v="640394.34"/>
        <n v="880011.94"/>
        <n v="879784.52"/>
        <n v="878913.44"/>
        <n v="404726.22"/>
        <n v="875697.77"/>
        <n v="872580.26"/>
        <n v="871439.11"/>
        <n v="871452.21"/>
        <n v="842358.21"/>
        <n v="869692.77"/>
        <n v="862307.39"/>
        <n v="829499.83"/>
        <n v="815907.92"/>
        <n v="857417.41"/>
        <n v="853120.41"/>
        <n v="440491.03"/>
        <n v="221625.0"/>
        <n v="850114.07"/>
        <n v="844446.32"/>
        <n v="840619.35"/>
        <n v="838964.57"/>
        <n v="834459.73"/>
        <n v="830344.81"/>
        <n v="829289.3"/>
        <n v="822488.56"/>
        <n v="823849.65"/>
        <n v="822260.56"/>
        <n v="413650.0"/>
        <n v="814686.33"/>
        <n v="813977.39"/>
        <n v="802535.95"/>
        <n v="588650.0"/>
        <n v="810882.84"/>
        <n v="253343.6"/>
        <n v="807151.6"/>
        <n v="801652.05"/>
        <n v="780046.75"/>
        <n v="795694.96"/>
        <n v="791539.21"/>
        <n v="793351.93"/>
        <n v="689568.7"/>
        <n v="790685.2"/>
        <n v="583850.0"/>
        <n v="791861.68"/>
        <n v="749350.0"/>
        <n v="417632.37"/>
        <n v="788982.06"/>
        <n v="787184.65"/>
        <n v="565029.52"/>
        <n v="782465.36"/>
        <n v="770425.0"/>
        <n v="607867.72"/>
        <n v="767619.84"/>
        <n v="540740.92"/>
        <n v="571133.78"/>
        <n v="370500.0"/>
        <n v="617331.01"/>
        <n v="399800.0"/>
        <n v="760414.34"/>
        <n v="306001.33"/>
        <n v="755193.13"/>
        <n v="602678.3"/>
        <n v="748529.03"/>
        <n v="285000.0"/>
        <n v="748209.82"/>
        <n v="746670.71"/>
        <n v="737398.91"/>
        <n v="424131.99"/>
        <n v="741565.84"/>
        <n v="741420.61"/>
        <n v="714482.86"/>
        <n v="739729.23"/>
        <n v="617163.09"/>
        <n v="736226.13"/>
        <n v="736131.79"/>
        <n v="735947.87"/>
        <n v="730227.57"/>
        <n v="728500.0"/>
        <n v="728235.9"/>
        <n v="700247.12"/>
        <n v="724667.0"/>
        <n v="284500.0"/>
        <n v="723577.98"/>
        <n v="616098.02"/>
        <n v="721423.07"/>
        <n v="720366.12"/>
        <n v="717764.82"/>
        <n v="460795.03"/>
        <n v="614848.01"/>
        <n v="660951.43"/>
        <n v="705536.2"/>
        <n v="705260.74"/>
        <n v="697159.25"/>
        <n v="703435.17"/>
        <n v="628400.0"/>
        <n v="702342.5"/>
        <n v="399880.38"/>
        <n v="460146.34"/>
        <n v="699624.67"/>
        <n v="421325.0"/>
        <n v="627296.95"/>
        <n v="556137.63"/>
        <n v="353500.0"/>
        <n v="693089.36"/>
        <n v="692839.49"/>
        <n v="692327.42"/>
        <n v="689371.7"/>
        <n v="690082.59"/>
        <n v="669790.82"/>
        <n v="688016.28"/>
        <n v="687905.69"/>
        <n v="686649.73"/>
        <n v="686023.18"/>
        <n v="685937.0"/>
        <n v="684334.96"/>
        <n v="422125.0"/>
        <n v="678860.92"/>
        <n v="681112.54"/>
        <n v="680524.49"/>
        <n v="677986.71"/>
        <n v="677630.08"/>
        <n v="677281.37"/>
        <n v="676528.1"/>
        <n v="671953.09"/>
        <n v="271125.0"/>
        <n v="286250.0"/>
        <n v="669030.37"/>
        <n v="608833.92"/>
        <n v="470667.05"/>
        <n v="664999.39"/>
        <n v="663709.65"/>
        <n v="664776.39"/>
        <n v="664528.8"/>
        <n v="664125.67"/>
        <n v="661771.48"/>
        <n v="661936.39"/>
        <n v="655496.32"/>
        <n v="661424.35"/>
        <n v="658509.19"/>
        <n v="653537.31"/>
        <n v="653514.33"/>
        <n v="653192.8"/>
        <n v="652893.12"/>
        <n v="651693.88"/>
        <n v="650481.09"/>
        <n v="413853.57"/>
        <n v="641938.81"/>
        <n v="647773.33"/>
        <n v="315596.85"/>
        <n v="636408.27"/>
        <n v="641695.19"/>
        <n v="641141.6"/>
        <n v="640260.5"/>
        <n v="634476.87"/>
        <n v="427563.67"/>
        <n v="638676.45"/>
        <n v="637562.73"/>
        <n v="637692.16"/>
        <n v="632346.19"/>
        <n v="635484.67"/>
        <n v="634421.94"/>
        <n v="430735.93"/>
        <n v="632268.84"/>
        <n v="630136.6"/>
        <n v="623296.93"/>
        <n v="522015.39"/>
        <n v="626119.12"/>
        <n v="625229.63"/>
        <n v="578384.06"/>
        <n v="622638.15"/>
        <n v="317975.0"/>
        <n v="604154.13"/>
        <n v="620972.51"/>
        <n v="619658.35"/>
        <n v="619137.79"/>
        <n v="145954.5"/>
        <n v="616244.35"/>
        <n v="253282.95"/>
        <n v="611364.54"/>
        <n v="611125.0"/>
        <n v="239500.0"/>
        <n v="608918.88"/>
        <n v="608248.79"/>
        <n v="608522.71"/>
        <n v="606346.53"/>
        <n v="228332.5"/>
        <n v="605530.18"/>
        <n v="604158.99"/>
        <n v="601854.15"/>
        <n v="601721.4"/>
        <n v="598528.98"/>
        <n v="573874.45"/>
        <n v="597404.53"/>
        <n v="596966.58"/>
        <n v="595966.66"/>
        <n v="251000.0"/>
        <n v="592676.77"/>
        <n v="592619.22"/>
        <n v="592510.78"/>
        <n v="591322.79"/>
        <n v="590561.2"/>
        <n v="589644.76"/>
        <n v="588649.44"/>
        <n v="588115.4"/>
        <n v="587341.09"/>
        <n v="586016.52"/>
        <n v="585736.6"/>
        <n v="585513.45"/>
        <n v="585503.21"/>
        <n v="585098.46"/>
        <n v="584841.68"/>
        <n v="584580.38"/>
        <n v="584428.18"/>
        <n v="358250.0"/>
        <n v="583459.93"/>
        <n v="582384.84"/>
        <n v="582258.72"/>
        <n v="581507.86"/>
        <n v="427700.0"/>
        <n v="523572.99"/>
        <n v="575459.59"/>
        <n v="574373.58"/>
        <n v="374924.31"/>
        <n v="572350.18"/>
        <n v="499876.62"/>
        <n v="567507.34"/>
        <n v="567040.77"/>
        <n v="566501.37"/>
        <n v="566279.99"/>
        <n v="524870.95"/>
        <n v="562085.9"/>
        <n v="428300.0"/>
        <n v="560201.11"/>
        <n v="518945.79"/>
        <n v="559518.75"/>
        <n v="555961.51"/>
        <n v="557849.05"/>
        <n v="232707.5"/>
        <n v="553869.6"/>
        <n v="553454.41"/>
        <n v="542076.34"/>
        <n v="551231.84"/>
        <m/>
      </sharedItems>
    </cacheField>
    <cacheField name="% of Total" numFmtId="0">
      <sharedItems containsString="0" containsBlank="1" containsNumber="1">
        <n v="99.84"/>
        <n v="99.99"/>
        <n v="100.0"/>
        <n v="99.95"/>
        <n v="99.96"/>
        <n v="99.53"/>
        <n v="99.67"/>
        <n v="99.97"/>
        <n v="99.09"/>
        <n v="99.4"/>
        <n v="99.82"/>
        <n v="99.92"/>
        <n v="98.02"/>
        <n v="99.77"/>
        <n v="98.08"/>
        <n v="97.66"/>
        <n v="97.79"/>
        <n v="60.15"/>
        <n v="92.79"/>
        <n v="78.17"/>
        <n v="57.01"/>
        <n v="91.92"/>
        <n v="99.94"/>
        <n v="24.14"/>
        <n v="95.13"/>
        <n v="95.67"/>
        <n v="25.67"/>
        <n v="99.6"/>
        <n v="77.13"/>
        <n v="99.87"/>
        <n v="27.22"/>
        <n v="87.03"/>
        <n v="98.95"/>
        <n v="98.86"/>
        <n v="99.63"/>
        <n v="74.25"/>
        <n v="99.72"/>
        <n v="51.03"/>
        <n v="93.34"/>
        <n v="56.54"/>
        <n v="23.33"/>
        <n v="99.83"/>
        <n v="71.87"/>
        <n v="34.12"/>
        <n v="99.58"/>
        <n v="99.93"/>
        <n v="24.89"/>
        <n v="99.69"/>
        <n v="90.47"/>
        <n v="32.43"/>
        <n v="93.62"/>
        <n v="90.29"/>
        <n v="91.32"/>
        <n v="99.06"/>
        <n v="99.74"/>
        <n v="65.93"/>
        <n v="50.02"/>
        <n v="33.16"/>
        <n v="29.63"/>
        <n v="99.51"/>
        <n v="98.18"/>
        <n v="99.27"/>
        <n v="96.49"/>
        <n v="99.7"/>
        <n v="21.88"/>
        <n v="99.49"/>
        <n v="94.15"/>
        <n v="34.55"/>
        <n v="94.73"/>
        <n v="31.02"/>
        <n v="98.89"/>
        <n v="66.35"/>
        <n v="98.38"/>
        <n v="78.37"/>
        <n v="98.4"/>
        <n v="22.35"/>
        <n v="35.01"/>
        <n v="93.95"/>
        <n v="68.28"/>
        <n v="57.88"/>
        <n v="39.98"/>
        <n v="37.16"/>
        <n v="99.78"/>
        <n v="59.58"/>
        <n v="32.37"/>
        <n v="86.93"/>
        <n v="70.61"/>
        <n v="60.73"/>
        <n v="71.01"/>
        <n v="54.61"/>
        <n v="31.03"/>
        <n v="50.37"/>
        <n v="96.57"/>
        <n v="99.91"/>
        <n v="99.86"/>
        <n v="32.3"/>
        <n v="43.13"/>
        <n v="72.58"/>
        <n v="99.89"/>
        <n v="46.18"/>
        <n v="96.79"/>
        <n v="96.64"/>
        <n v="95.08"/>
        <n v="43.14"/>
        <n v="51.72"/>
        <n v="26.03"/>
        <n v="31.0"/>
        <n v="99.32"/>
        <n v="50.77"/>
        <n v="98.72"/>
        <n v="72.54"/>
        <n v="31.29"/>
        <n v="97.48"/>
        <n v="99.56"/>
        <n v="87.0"/>
        <n v="73.72"/>
        <n v="94.66"/>
        <n v="52.8"/>
        <n v="72.2"/>
        <n v="78.91"/>
        <n v="70.7"/>
        <n v="74.76"/>
        <n v="48.51"/>
        <n v="80.98"/>
        <n v="52.47"/>
        <n v="40.43"/>
        <n v="80.47"/>
        <n v="38.08"/>
        <n v="98.83"/>
        <n v="57.09"/>
        <n v="96.37"/>
        <n v="83.79"/>
        <n v="50.3"/>
        <n v="96.26"/>
        <n v="39.29"/>
        <n v="85.35"/>
        <n v="93.49"/>
        <n v="32.39"/>
        <n v="64.72"/>
        <n v="86.74"/>
        <n v="93.51"/>
        <n v="89.41"/>
        <n v="56.99"/>
        <n v="65.66"/>
        <n v="60.39"/>
        <n v="90.0"/>
        <n v="79.8"/>
        <n v="50.75"/>
        <n v="97.1"/>
        <n v="61.8"/>
        <n v="99.44"/>
        <n v="99.33"/>
        <n v="40.32"/>
        <n v="42.62"/>
        <n v="91.0"/>
        <n v="70.41"/>
        <n v="99.8"/>
        <n v="99.79"/>
        <n v="99.85"/>
        <n v="63.54"/>
        <n v="48.85"/>
        <n v="98.6"/>
        <n v="99.11"/>
        <n v="66.8"/>
        <n v="99.9"/>
        <n v="99.17"/>
        <n v="68.06"/>
        <n v="99.39"/>
        <n v="83.29"/>
        <n v="92.53"/>
        <n v="51.08"/>
        <n v="97.19"/>
        <n v="23.62"/>
        <n v="41.26"/>
        <n v="39.25"/>
        <n v="37.7"/>
        <n v="95.99"/>
        <n v="42.24"/>
        <n v="61.36"/>
        <n v="73.67"/>
        <n v="90.4"/>
        <n v="65.35"/>
        <n v="87.5"/>
        <n v="55.21"/>
        <n v="93.36"/>
        <n v="76.35"/>
        <n v="99.98"/>
        <n v="92.73"/>
        <n v="99.62"/>
        <n v="41.89"/>
        <n v="97.98"/>
        <m/>
      </sharedItems>
    </cacheField>
    <cacheField name="Country" numFmtId="0">
      <sharedItems containsBlank="1">
        <s v="Denmark"/>
        <s v="Finland"/>
        <s v="Russia"/>
        <s v="Australia"/>
        <s v="France"/>
        <s v="Ukraine"/>
        <s v="Germany"/>
        <s v="Jordan"/>
        <s v="Bulgaria "/>
        <s v="Lebanon"/>
        <s v="Estonia"/>
        <s v="China"/>
        <s v="Sweden"/>
        <s v="Pakistan"/>
        <s v="Poland"/>
        <s v="USA"/>
        <s v="North Macedonia"/>
        <s v="Israel"/>
        <s v="Slovakia"/>
        <s v="Canada"/>
        <s v="Romania"/>
        <s v="Austria"/>
        <s v="Malaysia"/>
        <s v="Korea, Republic of"/>
        <s v="Norway"/>
        <s v="Singapore"/>
        <s v="Bosnia and Herzegovina"/>
        <s v="Japan"/>
        <s v="German"/>
        <s v="Armenia"/>
        <s v="Netherlands"/>
        <s v="United Kingdom"/>
        <s v="Macao"/>
        <s v="Brazil"/>
        <s v="Serbia"/>
        <s v="Thailand"/>
        <s v="Slovenia"/>
        <s v="Taiwan, Republic of China"/>
        <s v="Latvia"/>
        <s v="Moldova, Republic of"/>
        <s v="Hong Kong"/>
        <s v="Argentina"/>
        <s v="Philippines"/>
        <s v="Indonesia"/>
        <s v="Egypt"/>
        <s v="Kyrgyzstan"/>
        <s v="Kazakhstan"/>
        <s v="Belarus"/>
        <s v="Italia"/>
        <s v="Bulgaria"/>
        <s v="Bolivia"/>
        <s v="Czech Republic"/>
        <s v="Saudi Arabia"/>
        <s v="Peru"/>
        <s v="Turkey"/>
        <s v="Mexico"/>
        <s v="Croatia"/>
        <s v="Hungary"/>
        <m/>
      </sharedItems>
    </cacheField>
    <cacheField name="Number of Tournaments" numFmtId="0">
      <sharedItems containsString="0" containsBlank="1" containsNumber="1" containsInteger="1">
        <n v="130.0"/>
        <n v="68.0"/>
        <n v="123.0"/>
        <n v="26.0"/>
        <n v="82.0"/>
        <n v="59.0"/>
        <n v="62.0"/>
        <n v="44.0"/>
        <n v="54.0"/>
        <n v="135.0"/>
        <n v="86.0"/>
        <n v="87.0"/>
        <n v="96.0"/>
        <n v="52.0"/>
        <n v="165.0"/>
        <n v="90.0"/>
        <n v="126.0"/>
        <n v="104.0"/>
        <n v="94.0"/>
        <n v="163.0"/>
        <n v="88.0"/>
        <n v="108.0"/>
        <n v="124.0"/>
        <n v="93.0"/>
        <n v="121.0"/>
        <n v="112.0"/>
        <n v="95.0"/>
        <n v="99.0"/>
        <n v="153.0"/>
        <n v="143.0"/>
        <n v="127.0"/>
        <n v="107.0"/>
        <n v="72.0"/>
        <n v="70.0"/>
        <n v="198.0"/>
        <n v="111.0"/>
        <n v="103.0"/>
        <n v="128.0"/>
        <n v="117.0"/>
        <n v="246.0"/>
        <n v="132.0"/>
        <n v="76.0"/>
        <n v="195.0"/>
        <n v="260.0"/>
        <n v="89.0"/>
        <n v="113.0"/>
        <n v="115.0"/>
        <n v="122.0"/>
        <n v="47.0"/>
        <n v="151.0"/>
        <n v="56.0"/>
        <n v="27.0"/>
        <n v="200.0"/>
        <n v="29.0"/>
        <n v="57.0"/>
        <n v="60.0"/>
        <n v="23.0"/>
        <n v="74.0"/>
        <n v="58.0"/>
        <n v="187.0"/>
        <n v="184.0"/>
        <n v="138.0"/>
        <n v="80.0"/>
        <n v="152.0"/>
        <n v="193.0"/>
        <n v="154.0"/>
        <n v="22.0"/>
        <n v="14.0"/>
        <n v="19.0"/>
        <n v="18.0"/>
        <n v="139.0"/>
        <n v="147.0"/>
        <n v="77.0"/>
        <n v="194.0"/>
        <n v="33.0"/>
        <n v="78.0"/>
        <n v="75.0"/>
        <n v="15.0"/>
        <n v="63.0"/>
        <n v="41.0"/>
        <n v="172.0"/>
        <n v="17.0"/>
        <n v="48.0"/>
        <n v="203.0"/>
        <n v="91.0"/>
        <n v="8.0"/>
        <n v="231.0"/>
        <n v="79.0"/>
        <n v="16.0"/>
        <n v="10.0"/>
        <n v="160.0"/>
        <n v="175.0"/>
        <n v="185.0"/>
        <n v="24.0"/>
        <n v="202.0"/>
        <n v="209.0"/>
        <n v="98.0"/>
        <n v="46.0"/>
        <n v="32.0"/>
        <n v="149.0"/>
        <n v="50.0"/>
        <n v="49.0"/>
        <n v="144.0"/>
        <n v="81.0"/>
        <n v="1.0"/>
        <n v="92.0"/>
        <n v="65.0"/>
        <n v="190.0"/>
        <n v="439.0"/>
        <n v="71.0"/>
        <n v="66.0"/>
        <n v="51.0"/>
        <n v="162.0"/>
        <n v="341.0"/>
        <n v="188.0"/>
        <n v="272.0"/>
        <n v="133.0"/>
        <n v="141.0"/>
        <n v="120.0"/>
        <n v="37.0"/>
        <n v="106.0"/>
        <n v="179.0"/>
        <n v="131.0"/>
        <n v="85.0"/>
        <n v="6.0"/>
        <n v="2.0"/>
        <n v="55.0"/>
        <n v="61.0"/>
        <n v="34.0"/>
        <n v="69.0"/>
        <n v="28.0"/>
        <n v="84.0"/>
        <n v="161.0"/>
        <n v="40.0"/>
        <n v="35.0"/>
        <n v="20.0"/>
        <n v="38.0"/>
        <n v="191.0"/>
        <n v="258.0"/>
        <n v="39.0"/>
        <n v="30.0"/>
        <n v="43.0"/>
        <n v="463.0"/>
        <n v="227.0"/>
        <n v="116.0"/>
        <n v="168.0"/>
        <n v="105.0"/>
        <n v="83.0"/>
        <n v="167.0"/>
        <n v="21.0"/>
        <n v="297.0"/>
        <n v="42.0"/>
        <n v="204.0"/>
        <n v="53.0"/>
        <n v="276.0"/>
        <n v="275.0"/>
        <n v="238.0"/>
        <n v="255.0"/>
        <n v="12.0"/>
        <n v="178.0"/>
        <n v="150.0"/>
        <n v="67.0"/>
        <n v="118.0"/>
        <n v="177.0"/>
        <n v="216.0"/>
        <n v="97.0"/>
        <n v="64.0"/>
        <n v="101.0"/>
        <n v="4.0"/>
        <n v="25.0"/>
        <n v="460.0"/>
        <n v="497.0"/>
        <n v="102.0"/>
        <n v="9.0"/>
        <n v="319.0"/>
        <n v="753.0"/>
        <n v="728.0"/>
        <n v="100.0"/>
        <n v="220.0"/>
        <n v="45.0"/>
        <n v="140.0"/>
        <n v="237.0"/>
        <n v="226.0"/>
        <n v="236.0"/>
        <n v="169.0"/>
        <n v="110.0"/>
        <n v="13.0"/>
        <n v="159.0"/>
        <n v="137.0"/>
        <n v="36.0"/>
        <n v="164.0"/>
        <n v="73.0"/>
        <m/>
      </sharedItems>
    </cacheField>
    <cacheField name="Income categories" numFmtId="0">
      <sharedItems containsBlank="1">
        <s v="5M+"/>
        <s v="1M–5M"/>
        <s v="100k–500k"/>
        <s v="500k–1M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распределение и" cacheId="0" dataCaption="" rowGrandTotals="0" compact="0" compactData="0">
  <location ref="A1:B44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(Game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4"/>
  </rowFields>
  <dataFields>
    <dataField name="COUNTA of Player ID" fld="1" subtotal="count" baseField="0"/>
  </dataFields>
</pivotTableDefinition>
</file>

<file path=xl/pivotTables/pivotTable2.xml><?xml version="1.0" encoding="utf-8"?>
<pivotTableDefinition xmlns="http://schemas.openxmlformats.org/spreadsheetml/2006/main" name="Лист9" cacheId="0" dataCaption="" rowGrandTotals="0" compact="0" compactData="0">
  <location ref="A1:B60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(Game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Player ID" fld="1" subtotal="count" baseField="0"/>
  </dataFields>
</pivotTableDefinition>
</file>

<file path=xl/pivotTables/pivotTable3.xml><?xml version="1.0" encoding="utf-8"?>
<pivotTableDefinition xmlns="http://schemas.openxmlformats.org/spreadsheetml/2006/main" name="Лист10" cacheId="0" dataCaption="" rowGrandTotals="0" compact="0" compactData="0">
  <location ref="A1:B6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(Game)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9"/>
  </rowFields>
  <dataFields>
    <dataField name="COUNT of Total (Game) ($)" fld="5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chess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25"/>
    <col customWidth="1" min="4" max="4" width="14.5"/>
    <col customWidth="1" min="5" max="5" width="20.0"/>
    <col customWidth="1" min="6" max="6" width="17.63"/>
    <col customWidth="1" min="8" max="8" width="14.75"/>
    <col customWidth="1" min="9" max="9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>
      <c r="A2" s="2" t="s">
        <v>10</v>
      </c>
      <c r="B2" s="2" t="s">
        <v>11</v>
      </c>
      <c r="C2" s="2" t="s">
        <v>12</v>
      </c>
      <c r="D2" s="1">
        <v>7184163.05</v>
      </c>
      <c r="E2" s="2" t="s">
        <v>13</v>
      </c>
      <c r="F2" s="1">
        <v>7172436.83</v>
      </c>
      <c r="G2" s="1">
        <v>99.84</v>
      </c>
      <c r="H2" s="2" t="s">
        <v>14</v>
      </c>
      <c r="I2" s="2">
        <v>130.0</v>
      </c>
      <c r="J2" s="1" t="str">
        <f t="shared" ref="J2:J501" si="1">IF(F2&lt;500000,"100k–500k",
 IF(F2&lt;1000000,"500k–1M",
 IF(F2&lt;5000000,"1M–5M","5M+")))</f>
        <v>5M+</v>
      </c>
    </row>
    <row r="3">
      <c r="A3" s="2" t="s">
        <v>15</v>
      </c>
      <c r="B3" s="2" t="s">
        <v>16</v>
      </c>
      <c r="C3" s="2" t="s">
        <v>17</v>
      </c>
      <c r="D3" s="1">
        <v>6486623.98</v>
      </c>
      <c r="E3" s="2" t="s">
        <v>13</v>
      </c>
      <c r="F3" s="1">
        <v>6486075.22</v>
      </c>
      <c r="G3" s="1">
        <v>99.99</v>
      </c>
      <c r="H3" s="2" t="s">
        <v>18</v>
      </c>
      <c r="I3" s="2">
        <v>68.0</v>
      </c>
      <c r="J3" s="1" t="str">
        <f t="shared" si="1"/>
        <v>5M+</v>
      </c>
    </row>
    <row r="4">
      <c r="A4" s="2" t="s">
        <v>19</v>
      </c>
      <c r="B4" s="2" t="s">
        <v>20</v>
      </c>
      <c r="C4" s="2" t="s">
        <v>21</v>
      </c>
      <c r="D4" s="1">
        <v>6227771.49</v>
      </c>
      <c r="E4" s="2" t="s">
        <v>13</v>
      </c>
      <c r="F4" s="1">
        <v>6227771.49</v>
      </c>
      <c r="G4" s="1">
        <v>100.0</v>
      </c>
      <c r="H4" s="2" t="s">
        <v>22</v>
      </c>
      <c r="I4" s="2">
        <v>123.0</v>
      </c>
      <c r="J4" s="1" t="str">
        <f t="shared" si="1"/>
        <v>5M+</v>
      </c>
    </row>
    <row r="5">
      <c r="A5" s="2" t="s">
        <v>23</v>
      </c>
      <c r="B5" s="2" t="s">
        <v>24</v>
      </c>
      <c r="C5" s="2" t="s">
        <v>25</v>
      </c>
      <c r="D5" s="1">
        <v>6024411.96</v>
      </c>
      <c r="E5" s="2" t="s">
        <v>13</v>
      </c>
      <c r="F5" s="1">
        <v>6024411.96</v>
      </c>
      <c r="G5" s="1">
        <v>100.0</v>
      </c>
      <c r="H5" s="2" t="s">
        <v>26</v>
      </c>
      <c r="I5" s="2">
        <v>26.0</v>
      </c>
      <c r="J5" s="1" t="str">
        <f t="shared" si="1"/>
        <v>5M+</v>
      </c>
    </row>
    <row r="6">
      <c r="A6" s="2" t="s">
        <v>27</v>
      </c>
      <c r="B6" s="2" t="s">
        <v>28</v>
      </c>
      <c r="C6" s="2" t="s">
        <v>29</v>
      </c>
      <c r="D6" s="1">
        <v>5949442.73</v>
      </c>
      <c r="E6" s="2" t="s">
        <v>13</v>
      </c>
      <c r="F6" s="1">
        <v>5949442.73</v>
      </c>
      <c r="G6" s="1">
        <v>100.0</v>
      </c>
      <c r="H6" s="2" t="s">
        <v>30</v>
      </c>
      <c r="I6" s="2">
        <v>82.0</v>
      </c>
      <c r="J6" s="1" t="str">
        <f t="shared" si="1"/>
        <v>5M+</v>
      </c>
    </row>
    <row r="7">
      <c r="A7" s="2" t="s">
        <v>31</v>
      </c>
      <c r="B7" s="2" t="s">
        <v>32</v>
      </c>
      <c r="C7" s="2" t="s">
        <v>33</v>
      </c>
      <c r="D7" s="1">
        <v>5932736.05</v>
      </c>
      <c r="E7" s="2" t="s">
        <v>13</v>
      </c>
      <c r="F7" s="1">
        <v>5932736.05</v>
      </c>
      <c r="G7" s="1">
        <v>100.0</v>
      </c>
      <c r="H7" s="2" t="s">
        <v>34</v>
      </c>
      <c r="I7" s="2">
        <v>59.0</v>
      </c>
      <c r="J7" s="1" t="str">
        <f t="shared" si="1"/>
        <v>5M+</v>
      </c>
    </row>
    <row r="8">
      <c r="A8" s="2" t="s">
        <v>35</v>
      </c>
      <c r="B8" s="2" t="s">
        <v>36</v>
      </c>
      <c r="C8" s="2" t="s">
        <v>37</v>
      </c>
      <c r="D8" s="1">
        <v>5928111.07</v>
      </c>
      <c r="E8" s="2" t="s">
        <v>13</v>
      </c>
      <c r="F8" s="1">
        <v>5928111.07</v>
      </c>
      <c r="G8" s="1">
        <v>100.0</v>
      </c>
      <c r="H8" s="2" t="s">
        <v>22</v>
      </c>
      <c r="I8" s="2">
        <v>62.0</v>
      </c>
      <c r="J8" s="1" t="str">
        <f t="shared" si="1"/>
        <v>5M+</v>
      </c>
    </row>
    <row r="9">
      <c r="A9" s="2" t="s">
        <v>38</v>
      </c>
      <c r="B9" s="2" t="s">
        <v>39</v>
      </c>
      <c r="C9" s="2" t="s">
        <v>40</v>
      </c>
      <c r="D9" s="1">
        <v>5898810.6</v>
      </c>
      <c r="E9" s="2" t="s">
        <v>13</v>
      </c>
      <c r="F9" s="1">
        <v>5898810.6</v>
      </c>
      <c r="G9" s="1">
        <v>100.0</v>
      </c>
      <c r="H9" s="2" t="s">
        <v>18</v>
      </c>
      <c r="I9" s="2">
        <v>44.0</v>
      </c>
      <c r="J9" s="1" t="str">
        <f t="shared" si="1"/>
        <v>5M+</v>
      </c>
    </row>
    <row r="10">
      <c r="A10" s="2" t="s">
        <v>41</v>
      </c>
      <c r="B10" s="2" t="s">
        <v>42</v>
      </c>
      <c r="C10" s="2" t="s">
        <v>43</v>
      </c>
      <c r="D10" s="1">
        <v>5638899.05</v>
      </c>
      <c r="E10" s="2" t="s">
        <v>13</v>
      </c>
      <c r="F10" s="1">
        <v>5638899.05</v>
      </c>
      <c r="G10" s="1">
        <v>100.0</v>
      </c>
      <c r="H10" s="2" t="s">
        <v>34</v>
      </c>
      <c r="I10" s="2">
        <v>54.0</v>
      </c>
      <c r="J10" s="1" t="str">
        <f t="shared" si="1"/>
        <v>5M+</v>
      </c>
    </row>
    <row r="11">
      <c r="A11" s="2" t="s">
        <v>44</v>
      </c>
      <c r="B11" s="2" t="s">
        <v>45</v>
      </c>
      <c r="C11" s="2" t="s">
        <v>46</v>
      </c>
      <c r="D11" s="1">
        <v>5295698.85</v>
      </c>
      <c r="E11" s="2" t="s">
        <v>13</v>
      </c>
      <c r="F11" s="1">
        <v>5293199.59</v>
      </c>
      <c r="G11" s="1">
        <v>99.95</v>
      </c>
      <c r="H11" s="2" t="s">
        <v>47</v>
      </c>
      <c r="I11" s="2">
        <v>135.0</v>
      </c>
      <c r="J11" s="1" t="str">
        <f t="shared" si="1"/>
        <v>5M+</v>
      </c>
    </row>
    <row r="12">
      <c r="A12" s="2" t="s">
        <v>48</v>
      </c>
      <c r="B12" s="2" t="s">
        <v>49</v>
      </c>
      <c r="C12" s="2" t="s">
        <v>50</v>
      </c>
      <c r="D12" s="1">
        <v>4913585.26</v>
      </c>
      <c r="E12" s="2" t="s">
        <v>13</v>
      </c>
      <c r="F12" s="1">
        <v>4913585.26</v>
      </c>
      <c r="G12" s="1">
        <v>100.0</v>
      </c>
      <c r="H12" s="2" t="s">
        <v>51</v>
      </c>
      <c r="I12" s="2">
        <v>86.0</v>
      </c>
      <c r="J12" s="1" t="str">
        <f t="shared" si="1"/>
        <v>1M–5M</v>
      </c>
    </row>
    <row r="13">
      <c r="A13" s="2" t="s">
        <v>52</v>
      </c>
      <c r="B13" s="2" t="s">
        <v>53</v>
      </c>
      <c r="C13" s="2" t="s">
        <v>54</v>
      </c>
      <c r="D13" s="1">
        <v>4873086.24</v>
      </c>
      <c r="E13" s="2" t="s">
        <v>13</v>
      </c>
      <c r="F13" s="1">
        <v>4873086.24</v>
      </c>
      <c r="G13" s="1">
        <v>100.0</v>
      </c>
      <c r="H13" s="2" t="s">
        <v>18</v>
      </c>
      <c r="I13" s="2">
        <v>87.0</v>
      </c>
      <c r="J13" s="1" t="str">
        <f t="shared" si="1"/>
        <v>1M–5M</v>
      </c>
    </row>
    <row r="14">
      <c r="A14" s="2" t="s">
        <v>55</v>
      </c>
      <c r="B14" s="2" t="s">
        <v>56</v>
      </c>
      <c r="C14" s="2" t="s">
        <v>57</v>
      </c>
      <c r="D14" s="1">
        <v>4704032.25</v>
      </c>
      <c r="E14" s="2" t="s">
        <v>13</v>
      </c>
      <c r="F14" s="1">
        <v>4704032.25</v>
      </c>
      <c r="G14" s="1">
        <v>100.0</v>
      </c>
      <c r="H14" s="2" t="s">
        <v>58</v>
      </c>
      <c r="I14" s="2">
        <v>96.0</v>
      </c>
      <c r="J14" s="1" t="str">
        <f t="shared" si="1"/>
        <v>1M–5M</v>
      </c>
    </row>
    <row r="15">
      <c r="A15" s="2" t="s">
        <v>59</v>
      </c>
      <c r="B15" s="2" t="s">
        <v>60</v>
      </c>
      <c r="C15" s="2" t="s">
        <v>61</v>
      </c>
      <c r="D15" s="1">
        <v>4539863.5</v>
      </c>
      <c r="E15" s="2" t="s">
        <v>13</v>
      </c>
      <c r="F15" s="1">
        <v>4539863.5</v>
      </c>
      <c r="G15" s="1">
        <v>100.0</v>
      </c>
      <c r="H15" s="2" t="s">
        <v>22</v>
      </c>
      <c r="I15" s="2">
        <v>52.0</v>
      </c>
      <c r="J15" s="1" t="str">
        <f t="shared" si="1"/>
        <v>1M–5M</v>
      </c>
    </row>
    <row r="16">
      <c r="A16" s="2" t="s">
        <v>62</v>
      </c>
      <c r="B16" s="2" t="s">
        <v>63</v>
      </c>
      <c r="C16" s="2" t="s">
        <v>64</v>
      </c>
      <c r="D16" s="1">
        <v>4359887.6</v>
      </c>
      <c r="E16" s="2" t="s">
        <v>13</v>
      </c>
      <c r="F16" s="1">
        <v>4359887.6</v>
      </c>
      <c r="G16" s="1">
        <v>100.0</v>
      </c>
      <c r="H16" s="2" t="s">
        <v>65</v>
      </c>
      <c r="I16" s="2">
        <v>82.0</v>
      </c>
      <c r="J16" s="1" t="str">
        <f t="shared" si="1"/>
        <v>1M–5M</v>
      </c>
    </row>
    <row r="17">
      <c r="A17" s="2" t="s">
        <v>66</v>
      </c>
      <c r="B17" s="2" t="s">
        <v>67</v>
      </c>
      <c r="C17" s="2" t="s">
        <v>68</v>
      </c>
      <c r="D17" s="1">
        <v>4345228.38</v>
      </c>
      <c r="E17" s="2" t="s">
        <v>13</v>
      </c>
      <c r="F17" s="1">
        <v>4343494.79</v>
      </c>
      <c r="G17" s="1">
        <v>99.96</v>
      </c>
      <c r="H17" s="2" t="s">
        <v>69</v>
      </c>
      <c r="I17" s="2">
        <v>165.0</v>
      </c>
      <c r="J17" s="1" t="str">
        <f t="shared" si="1"/>
        <v>1M–5M</v>
      </c>
    </row>
    <row r="18">
      <c r="A18" s="2" t="s">
        <v>70</v>
      </c>
      <c r="B18" s="2" t="s">
        <v>71</v>
      </c>
      <c r="C18" s="2" t="s">
        <v>72</v>
      </c>
      <c r="D18" s="1">
        <v>4303979.27</v>
      </c>
      <c r="E18" s="2" t="s">
        <v>13</v>
      </c>
      <c r="F18" s="1">
        <v>4303979.27</v>
      </c>
      <c r="G18" s="1">
        <v>100.0</v>
      </c>
      <c r="H18" s="2" t="s">
        <v>73</v>
      </c>
      <c r="I18" s="2">
        <v>90.0</v>
      </c>
      <c r="J18" s="1" t="str">
        <f t="shared" si="1"/>
        <v>1M–5M</v>
      </c>
    </row>
    <row r="19">
      <c r="A19" s="2" t="s">
        <v>74</v>
      </c>
      <c r="B19" s="2" t="s">
        <v>75</v>
      </c>
      <c r="C19" s="2" t="s">
        <v>76</v>
      </c>
      <c r="D19" s="1">
        <v>4292756.02</v>
      </c>
      <c r="E19" s="2" t="s">
        <v>13</v>
      </c>
      <c r="F19" s="1">
        <v>4272661.31</v>
      </c>
      <c r="G19" s="1">
        <v>99.53</v>
      </c>
      <c r="H19" s="2" t="s">
        <v>77</v>
      </c>
      <c r="I19" s="2">
        <v>126.0</v>
      </c>
      <c r="J19" s="1" t="str">
        <f t="shared" si="1"/>
        <v>1M–5M</v>
      </c>
    </row>
    <row r="20">
      <c r="A20" s="2" t="s">
        <v>78</v>
      </c>
      <c r="B20" s="2" t="s">
        <v>79</v>
      </c>
      <c r="C20" s="2" t="s">
        <v>80</v>
      </c>
      <c r="D20" s="1">
        <v>4137055.98</v>
      </c>
      <c r="E20" s="2" t="s">
        <v>13</v>
      </c>
      <c r="F20" s="1">
        <v>4137055.98</v>
      </c>
      <c r="G20" s="1">
        <v>100.0</v>
      </c>
      <c r="H20" s="2" t="s">
        <v>81</v>
      </c>
      <c r="I20" s="2">
        <v>104.0</v>
      </c>
      <c r="J20" s="1" t="str">
        <f t="shared" si="1"/>
        <v>1M–5M</v>
      </c>
    </row>
    <row r="21">
      <c r="A21" s="2" t="s">
        <v>82</v>
      </c>
      <c r="B21" s="2" t="s">
        <v>83</v>
      </c>
      <c r="C21" s="2" t="s">
        <v>84</v>
      </c>
      <c r="D21" s="1">
        <v>4048742.2</v>
      </c>
      <c r="E21" s="2" t="s">
        <v>13</v>
      </c>
      <c r="F21" s="1">
        <v>4048742.2</v>
      </c>
      <c r="G21" s="1">
        <v>100.0</v>
      </c>
      <c r="H21" s="2" t="s">
        <v>73</v>
      </c>
      <c r="I21" s="2">
        <v>94.0</v>
      </c>
      <c r="J21" s="1" t="str">
        <f t="shared" si="1"/>
        <v>1M–5M</v>
      </c>
    </row>
    <row r="22">
      <c r="A22" s="2" t="s">
        <v>85</v>
      </c>
      <c r="B22" s="2" t="s">
        <v>86</v>
      </c>
      <c r="C22" s="2" t="s">
        <v>87</v>
      </c>
      <c r="D22" s="1">
        <v>3958981.98</v>
      </c>
      <c r="E22" s="2" t="s">
        <v>13</v>
      </c>
      <c r="F22" s="1">
        <v>3958981.98</v>
      </c>
      <c r="G22" s="1">
        <v>100.0</v>
      </c>
      <c r="H22" s="2" t="s">
        <v>73</v>
      </c>
      <c r="I22" s="2">
        <v>87.0</v>
      </c>
      <c r="J22" s="1" t="str">
        <f t="shared" si="1"/>
        <v>1M–5M</v>
      </c>
    </row>
    <row r="23">
      <c r="A23" s="2" t="s">
        <v>88</v>
      </c>
      <c r="B23" s="2" t="s">
        <v>89</v>
      </c>
      <c r="C23" s="2" t="s">
        <v>90</v>
      </c>
      <c r="D23" s="1">
        <v>3791426.48</v>
      </c>
      <c r="E23" s="2" t="s">
        <v>13</v>
      </c>
      <c r="F23" s="1">
        <v>3791426.48</v>
      </c>
      <c r="G23" s="1">
        <v>100.0</v>
      </c>
      <c r="H23" s="2" t="s">
        <v>91</v>
      </c>
      <c r="I23" s="2">
        <v>104.0</v>
      </c>
      <c r="J23" s="1" t="str">
        <f t="shared" si="1"/>
        <v>1M–5M</v>
      </c>
    </row>
    <row r="24">
      <c r="A24" s="2" t="s">
        <v>92</v>
      </c>
      <c r="B24" s="2" t="s">
        <v>93</v>
      </c>
      <c r="C24" s="2" t="s">
        <v>94</v>
      </c>
      <c r="D24" s="1">
        <v>3784225.05</v>
      </c>
      <c r="E24" s="2" t="s">
        <v>95</v>
      </c>
      <c r="F24" s="1">
        <v>3771558.38</v>
      </c>
      <c r="G24" s="1">
        <v>99.67</v>
      </c>
      <c r="H24" s="2" t="s">
        <v>96</v>
      </c>
      <c r="I24" s="2">
        <v>163.0</v>
      </c>
      <c r="J24" s="1" t="str">
        <f t="shared" si="1"/>
        <v>1M–5M</v>
      </c>
    </row>
    <row r="25">
      <c r="A25" s="2" t="s">
        <v>97</v>
      </c>
      <c r="B25" s="2" t="s">
        <v>98</v>
      </c>
      <c r="C25" s="2" t="s">
        <v>99</v>
      </c>
      <c r="D25" s="1">
        <v>3659111.18</v>
      </c>
      <c r="E25" s="2" t="s">
        <v>13</v>
      </c>
      <c r="F25" s="1">
        <v>3659111.18</v>
      </c>
      <c r="G25" s="1">
        <v>100.0</v>
      </c>
      <c r="H25" s="2" t="s">
        <v>100</v>
      </c>
      <c r="I25" s="2">
        <v>88.0</v>
      </c>
      <c r="J25" s="1" t="str">
        <f t="shared" si="1"/>
        <v>1M–5M</v>
      </c>
    </row>
    <row r="26">
      <c r="A26" s="2" t="s">
        <v>101</v>
      </c>
      <c r="B26" s="4" t="s">
        <v>102</v>
      </c>
      <c r="C26" s="2" t="s">
        <v>103</v>
      </c>
      <c r="D26" s="1">
        <v>3413479.03</v>
      </c>
      <c r="E26" s="2" t="s">
        <v>13</v>
      </c>
      <c r="F26" s="1">
        <v>3413479.03</v>
      </c>
      <c r="G26" s="1">
        <v>100.0</v>
      </c>
      <c r="H26" s="2" t="s">
        <v>104</v>
      </c>
      <c r="I26" s="2">
        <v>108.0</v>
      </c>
      <c r="J26" s="1" t="str">
        <f t="shared" si="1"/>
        <v>1M–5M</v>
      </c>
    </row>
    <row r="27">
      <c r="A27" s="2" t="s">
        <v>105</v>
      </c>
      <c r="B27" s="2" t="s">
        <v>106</v>
      </c>
      <c r="C27" s="2" t="s">
        <v>107</v>
      </c>
      <c r="D27" s="1">
        <v>3351429.18</v>
      </c>
      <c r="E27" s="2" t="s">
        <v>13</v>
      </c>
      <c r="F27" s="1">
        <v>3351429.18</v>
      </c>
      <c r="G27" s="1">
        <v>100.0</v>
      </c>
      <c r="H27" s="2" t="s">
        <v>14</v>
      </c>
      <c r="I27" s="2">
        <v>124.0</v>
      </c>
      <c r="J27" s="1" t="str">
        <f t="shared" si="1"/>
        <v>1M–5M</v>
      </c>
    </row>
    <row r="28">
      <c r="A28" s="2" t="s">
        <v>108</v>
      </c>
      <c r="B28" s="2" t="s">
        <v>109</v>
      </c>
      <c r="C28" s="2" t="s">
        <v>110</v>
      </c>
      <c r="D28" s="1">
        <v>3311808.66</v>
      </c>
      <c r="E28" s="2" t="s">
        <v>13</v>
      </c>
      <c r="F28" s="1">
        <v>3311808.66</v>
      </c>
      <c r="G28" s="1">
        <v>100.0</v>
      </c>
      <c r="H28" s="2" t="s">
        <v>73</v>
      </c>
      <c r="I28" s="2">
        <v>93.0</v>
      </c>
      <c r="J28" s="1" t="str">
        <f t="shared" si="1"/>
        <v>1M–5M</v>
      </c>
    </row>
    <row r="29">
      <c r="A29" s="2" t="s">
        <v>111</v>
      </c>
      <c r="B29" s="2" t="s">
        <v>112</v>
      </c>
      <c r="C29" s="2" t="s">
        <v>113</v>
      </c>
      <c r="D29" s="1">
        <v>3306529.59</v>
      </c>
      <c r="E29" s="2" t="s">
        <v>13</v>
      </c>
      <c r="F29" s="1">
        <v>3305529.59</v>
      </c>
      <c r="G29" s="1">
        <v>99.97</v>
      </c>
      <c r="H29" s="2" t="s">
        <v>96</v>
      </c>
      <c r="I29" s="2">
        <v>121.0</v>
      </c>
      <c r="J29" s="1" t="str">
        <f t="shared" si="1"/>
        <v>1M–5M</v>
      </c>
    </row>
    <row r="30">
      <c r="A30" s="2" t="s">
        <v>114</v>
      </c>
      <c r="B30" s="2" t="s">
        <v>115</v>
      </c>
      <c r="C30" s="2" t="s">
        <v>116</v>
      </c>
      <c r="D30" s="1">
        <v>3159545.98</v>
      </c>
      <c r="E30" s="2" t="s">
        <v>13</v>
      </c>
      <c r="F30" s="1">
        <v>3159545.98</v>
      </c>
      <c r="G30" s="1">
        <v>100.0</v>
      </c>
      <c r="H30" s="2" t="s">
        <v>73</v>
      </c>
      <c r="I30" s="2">
        <v>112.0</v>
      </c>
      <c r="J30" s="1" t="str">
        <f t="shared" si="1"/>
        <v>1M–5M</v>
      </c>
    </row>
    <row r="31">
      <c r="A31" s="2" t="s">
        <v>117</v>
      </c>
      <c r="B31" s="2" t="s">
        <v>118</v>
      </c>
      <c r="C31" s="2" t="s">
        <v>119</v>
      </c>
      <c r="D31" s="1">
        <v>3057237.67</v>
      </c>
      <c r="E31" s="2" t="s">
        <v>13</v>
      </c>
      <c r="F31" s="1">
        <v>3057237.67</v>
      </c>
      <c r="G31" s="1">
        <v>100.0</v>
      </c>
      <c r="H31" s="2" t="s">
        <v>96</v>
      </c>
      <c r="I31" s="2">
        <v>95.0</v>
      </c>
      <c r="J31" s="1" t="str">
        <f t="shared" si="1"/>
        <v>1M–5M</v>
      </c>
    </row>
    <row r="32">
      <c r="A32" s="2" t="s">
        <v>120</v>
      </c>
      <c r="B32" s="2" t="s">
        <v>121</v>
      </c>
      <c r="C32" s="2" t="s">
        <v>122</v>
      </c>
      <c r="D32" s="1">
        <v>3029331.36</v>
      </c>
      <c r="E32" s="2" t="s">
        <v>13</v>
      </c>
      <c r="F32" s="1">
        <v>3001619.62</v>
      </c>
      <c r="G32" s="1">
        <v>99.09</v>
      </c>
      <c r="H32" s="2" t="s">
        <v>96</v>
      </c>
      <c r="I32" s="2">
        <v>96.0</v>
      </c>
      <c r="J32" s="1" t="str">
        <f t="shared" si="1"/>
        <v>1M–5M</v>
      </c>
    </row>
    <row r="33">
      <c r="A33" s="2" t="s">
        <v>123</v>
      </c>
      <c r="B33" s="2" t="s">
        <v>124</v>
      </c>
      <c r="C33" s="2" t="s">
        <v>125</v>
      </c>
      <c r="D33" s="1">
        <v>2955493.15</v>
      </c>
      <c r="E33" s="2" t="s">
        <v>13</v>
      </c>
      <c r="F33" s="1">
        <v>2955493.15</v>
      </c>
      <c r="G33" s="1">
        <v>100.0</v>
      </c>
      <c r="H33" s="2" t="s">
        <v>126</v>
      </c>
      <c r="I33" s="2">
        <v>99.0</v>
      </c>
      <c r="J33" s="1" t="str">
        <f t="shared" si="1"/>
        <v>1M–5M</v>
      </c>
    </row>
    <row r="34">
      <c r="A34" s="2" t="s">
        <v>127</v>
      </c>
      <c r="B34" s="2" t="s">
        <v>128</v>
      </c>
      <c r="C34" s="2" t="s">
        <v>129</v>
      </c>
      <c r="D34" s="1">
        <v>2886903.39</v>
      </c>
      <c r="E34" s="2" t="s">
        <v>13</v>
      </c>
      <c r="F34" s="1">
        <v>2869488.49</v>
      </c>
      <c r="G34" s="1">
        <v>99.4</v>
      </c>
      <c r="H34" s="2" t="s">
        <v>104</v>
      </c>
      <c r="I34" s="2">
        <v>153.0</v>
      </c>
      <c r="J34" s="1" t="str">
        <f t="shared" si="1"/>
        <v>1M–5M</v>
      </c>
    </row>
    <row r="35">
      <c r="A35" s="2" t="s">
        <v>130</v>
      </c>
      <c r="B35" s="2" t="s">
        <v>131</v>
      </c>
      <c r="C35" s="2" t="s">
        <v>132</v>
      </c>
      <c r="D35" s="1">
        <v>2749194.7</v>
      </c>
      <c r="E35" s="2" t="s">
        <v>13</v>
      </c>
      <c r="F35" s="1">
        <v>2744135.93</v>
      </c>
      <c r="G35" s="1">
        <v>99.82</v>
      </c>
      <c r="H35" s="2" t="s">
        <v>77</v>
      </c>
      <c r="I35" s="2">
        <v>143.0</v>
      </c>
      <c r="J35" s="1" t="str">
        <f t="shared" si="1"/>
        <v>1M–5M</v>
      </c>
    </row>
    <row r="36">
      <c r="A36" s="2" t="s">
        <v>133</v>
      </c>
      <c r="B36" s="2" t="s">
        <v>134</v>
      </c>
      <c r="C36" s="2" t="s">
        <v>135</v>
      </c>
      <c r="D36" s="1">
        <v>2714369.91</v>
      </c>
      <c r="E36" s="2" t="s">
        <v>13</v>
      </c>
      <c r="F36" s="1">
        <v>2714369.91</v>
      </c>
      <c r="G36" s="1">
        <v>100.0</v>
      </c>
      <c r="H36" s="2" t="s">
        <v>136</v>
      </c>
      <c r="I36" s="2">
        <v>127.0</v>
      </c>
      <c r="J36" s="1" t="str">
        <f t="shared" si="1"/>
        <v>1M–5M</v>
      </c>
    </row>
    <row r="37">
      <c r="A37" s="2" t="s">
        <v>137</v>
      </c>
      <c r="B37" s="2" t="s">
        <v>138</v>
      </c>
      <c r="C37" s="2" t="s">
        <v>139</v>
      </c>
      <c r="D37" s="1">
        <v>2564904.63</v>
      </c>
      <c r="E37" s="2" t="s">
        <v>13</v>
      </c>
      <c r="F37" s="1">
        <v>2562957.34</v>
      </c>
      <c r="G37" s="1">
        <v>99.92</v>
      </c>
      <c r="H37" s="2" t="s">
        <v>96</v>
      </c>
      <c r="I37" s="2">
        <v>104.0</v>
      </c>
      <c r="J37" s="1" t="str">
        <f t="shared" si="1"/>
        <v>1M–5M</v>
      </c>
    </row>
    <row r="38">
      <c r="A38" s="2" t="s">
        <v>140</v>
      </c>
      <c r="B38" s="2" t="s">
        <v>141</v>
      </c>
      <c r="C38" s="2" t="s">
        <v>142</v>
      </c>
      <c r="D38" s="1">
        <v>2548691.89</v>
      </c>
      <c r="E38" s="2" t="s">
        <v>13</v>
      </c>
      <c r="F38" s="1">
        <v>2548691.89</v>
      </c>
      <c r="G38" s="1">
        <v>100.0</v>
      </c>
      <c r="H38" s="2" t="s">
        <v>73</v>
      </c>
      <c r="I38" s="2">
        <v>107.0</v>
      </c>
      <c r="J38" s="1" t="str">
        <f t="shared" si="1"/>
        <v>1M–5M</v>
      </c>
    </row>
    <row r="39">
      <c r="A39" s="2" t="s">
        <v>143</v>
      </c>
      <c r="B39" s="2" t="s">
        <v>144</v>
      </c>
      <c r="C39" s="2" t="s">
        <v>145</v>
      </c>
      <c r="D39" s="1">
        <v>2304260.44</v>
      </c>
      <c r="E39" s="2" t="s">
        <v>13</v>
      </c>
      <c r="F39" s="1">
        <v>2304260.44</v>
      </c>
      <c r="G39" s="1">
        <v>100.0</v>
      </c>
      <c r="H39" s="2" t="s">
        <v>73</v>
      </c>
      <c r="I39" s="2">
        <v>72.0</v>
      </c>
      <c r="J39" s="1" t="str">
        <f t="shared" si="1"/>
        <v>1M–5M</v>
      </c>
    </row>
    <row r="40">
      <c r="A40" s="2" t="s">
        <v>146</v>
      </c>
      <c r="B40" s="2" t="s">
        <v>147</v>
      </c>
      <c r="C40" s="2" t="s">
        <v>148</v>
      </c>
      <c r="D40" s="1">
        <v>2298690.64</v>
      </c>
      <c r="E40" s="2" t="s">
        <v>13</v>
      </c>
      <c r="F40" s="1">
        <v>2298690.64</v>
      </c>
      <c r="G40" s="1">
        <v>100.0</v>
      </c>
      <c r="H40" s="2" t="s">
        <v>51</v>
      </c>
      <c r="I40" s="2">
        <v>68.0</v>
      </c>
      <c r="J40" s="1" t="str">
        <f t="shared" si="1"/>
        <v>1M–5M</v>
      </c>
    </row>
    <row r="41">
      <c r="A41" s="2" t="s">
        <v>149</v>
      </c>
      <c r="B41" s="2" t="s">
        <v>150</v>
      </c>
      <c r="C41" s="2" t="s">
        <v>151</v>
      </c>
      <c r="D41" s="1">
        <v>2294325.43</v>
      </c>
      <c r="E41" s="2" t="s">
        <v>13</v>
      </c>
      <c r="F41" s="1">
        <v>2294325.43</v>
      </c>
      <c r="G41" s="1">
        <v>100.0</v>
      </c>
      <c r="H41" s="2" t="s">
        <v>152</v>
      </c>
      <c r="I41" s="2">
        <v>70.0</v>
      </c>
      <c r="J41" s="1" t="str">
        <f t="shared" si="1"/>
        <v>1M–5M</v>
      </c>
    </row>
    <row r="42">
      <c r="A42" s="2" t="s">
        <v>153</v>
      </c>
      <c r="B42" s="2" t="s">
        <v>154</v>
      </c>
      <c r="C42" s="2" t="s">
        <v>155</v>
      </c>
      <c r="D42" s="1">
        <v>2225525.08</v>
      </c>
      <c r="E42" s="2" t="s">
        <v>156</v>
      </c>
      <c r="F42" s="1">
        <v>2181525.08</v>
      </c>
      <c r="G42" s="1">
        <v>98.02</v>
      </c>
      <c r="H42" s="2" t="s">
        <v>14</v>
      </c>
      <c r="I42" s="2">
        <v>198.0</v>
      </c>
      <c r="J42" s="1" t="str">
        <f t="shared" si="1"/>
        <v>1M–5M</v>
      </c>
    </row>
    <row r="43">
      <c r="A43" s="2" t="s">
        <v>157</v>
      </c>
      <c r="B43" s="2" t="s">
        <v>158</v>
      </c>
      <c r="C43" s="2" t="s">
        <v>159</v>
      </c>
      <c r="D43" s="1">
        <v>2207611.08</v>
      </c>
      <c r="E43" s="2" t="s">
        <v>13</v>
      </c>
      <c r="F43" s="1">
        <v>2207611.08</v>
      </c>
      <c r="G43" s="1">
        <v>100.0</v>
      </c>
      <c r="H43" s="2" t="s">
        <v>22</v>
      </c>
      <c r="I43" s="2">
        <v>111.0</v>
      </c>
      <c r="J43" s="1" t="str">
        <f t="shared" si="1"/>
        <v>1M–5M</v>
      </c>
    </row>
    <row r="44">
      <c r="A44" s="2" t="s">
        <v>160</v>
      </c>
      <c r="B44" s="2" t="s">
        <v>161</v>
      </c>
      <c r="C44" s="2" t="s">
        <v>162</v>
      </c>
      <c r="D44" s="1">
        <v>2197375.23</v>
      </c>
      <c r="E44" s="2" t="s">
        <v>95</v>
      </c>
      <c r="F44" s="1">
        <v>2192375.23</v>
      </c>
      <c r="G44" s="1">
        <v>99.77</v>
      </c>
      <c r="H44" s="2" t="s">
        <v>163</v>
      </c>
      <c r="I44" s="2">
        <v>103.0</v>
      </c>
      <c r="J44" s="1" t="str">
        <f t="shared" si="1"/>
        <v>1M–5M</v>
      </c>
    </row>
    <row r="45">
      <c r="A45" s="2" t="s">
        <v>164</v>
      </c>
      <c r="B45" s="2" t="s">
        <v>165</v>
      </c>
      <c r="C45" s="2" t="s">
        <v>166</v>
      </c>
      <c r="D45" s="1">
        <v>2186343.66</v>
      </c>
      <c r="E45" s="2" t="s">
        <v>13</v>
      </c>
      <c r="F45" s="1">
        <v>2144321.96</v>
      </c>
      <c r="G45" s="1">
        <v>98.08</v>
      </c>
      <c r="H45" s="2" t="s">
        <v>77</v>
      </c>
      <c r="I45" s="2">
        <v>112.0</v>
      </c>
      <c r="J45" s="1" t="str">
        <f t="shared" si="1"/>
        <v>1M–5M</v>
      </c>
    </row>
    <row r="46">
      <c r="A46" s="2" t="s">
        <v>167</v>
      </c>
      <c r="B46" s="2" t="s">
        <v>168</v>
      </c>
      <c r="C46" s="2" t="s">
        <v>169</v>
      </c>
      <c r="D46" s="1">
        <v>2184759.69</v>
      </c>
      <c r="E46" s="2" t="s">
        <v>13</v>
      </c>
      <c r="F46" s="1">
        <v>2133725.05</v>
      </c>
      <c r="G46" s="1">
        <v>97.66</v>
      </c>
      <c r="H46" s="2" t="s">
        <v>77</v>
      </c>
      <c r="I46" s="2">
        <v>128.0</v>
      </c>
      <c r="J46" s="1" t="str">
        <f t="shared" si="1"/>
        <v>1M–5M</v>
      </c>
    </row>
    <row r="47">
      <c r="A47" s="2" t="s">
        <v>170</v>
      </c>
      <c r="B47" s="2" t="s">
        <v>171</v>
      </c>
      <c r="C47" s="2" t="s">
        <v>172</v>
      </c>
      <c r="D47" s="1">
        <v>2175336.42</v>
      </c>
      <c r="E47" s="2" t="s">
        <v>13</v>
      </c>
      <c r="F47" s="1">
        <v>2127268.63</v>
      </c>
      <c r="G47" s="1">
        <v>97.79</v>
      </c>
      <c r="H47" s="2" t="s">
        <v>77</v>
      </c>
      <c r="I47" s="2">
        <v>117.0</v>
      </c>
      <c r="J47" s="1" t="str">
        <f t="shared" si="1"/>
        <v>1M–5M</v>
      </c>
    </row>
    <row r="48">
      <c r="A48" s="2" t="s">
        <v>173</v>
      </c>
      <c r="B48" s="2" t="s">
        <v>174</v>
      </c>
      <c r="C48" s="2" t="s">
        <v>175</v>
      </c>
      <c r="D48" s="1">
        <v>2158015.64</v>
      </c>
      <c r="E48" s="2" t="s">
        <v>156</v>
      </c>
      <c r="F48" s="1">
        <v>1298119.05</v>
      </c>
      <c r="G48" s="1">
        <v>60.15</v>
      </c>
      <c r="H48" s="2" t="s">
        <v>30</v>
      </c>
      <c r="I48" s="2">
        <v>246.0</v>
      </c>
      <c r="J48" s="1" t="str">
        <f t="shared" si="1"/>
        <v>1M–5M</v>
      </c>
    </row>
    <row r="49">
      <c r="A49" s="2" t="s">
        <v>176</v>
      </c>
      <c r="B49" s="2" t="s">
        <v>177</v>
      </c>
      <c r="C49" s="2" t="s">
        <v>178</v>
      </c>
      <c r="D49" s="1">
        <v>2156817.11</v>
      </c>
      <c r="E49" s="2" t="s">
        <v>13</v>
      </c>
      <c r="F49" s="1">
        <v>2156817.11</v>
      </c>
      <c r="G49" s="1">
        <v>100.0</v>
      </c>
      <c r="H49" s="2" t="s">
        <v>14</v>
      </c>
      <c r="I49" s="2">
        <v>132.0</v>
      </c>
      <c r="J49" s="1" t="str">
        <f t="shared" si="1"/>
        <v>1M–5M</v>
      </c>
    </row>
    <row r="50">
      <c r="A50" s="2" t="s">
        <v>179</v>
      </c>
      <c r="B50" s="2" t="s">
        <v>180</v>
      </c>
      <c r="C50" s="2" t="s">
        <v>181</v>
      </c>
      <c r="D50" s="1">
        <v>2146691.12</v>
      </c>
      <c r="E50" s="2" t="s">
        <v>13</v>
      </c>
      <c r="F50" s="1">
        <v>2146691.12</v>
      </c>
      <c r="G50" s="1">
        <v>100.0</v>
      </c>
      <c r="H50" s="2" t="s">
        <v>182</v>
      </c>
      <c r="I50" s="2">
        <v>76.0</v>
      </c>
      <c r="J50" s="1" t="str">
        <f t="shared" si="1"/>
        <v>1M–5M</v>
      </c>
    </row>
    <row r="51">
      <c r="A51" s="2" t="s">
        <v>183</v>
      </c>
      <c r="B51" s="2" t="s">
        <v>184</v>
      </c>
      <c r="C51" s="2" t="s">
        <v>185</v>
      </c>
      <c r="D51" s="1">
        <v>2135789.98</v>
      </c>
      <c r="E51" s="2" t="s">
        <v>156</v>
      </c>
      <c r="F51" s="1">
        <v>1981892.22</v>
      </c>
      <c r="G51" s="1">
        <v>92.79</v>
      </c>
      <c r="H51" s="2" t="s">
        <v>14</v>
      </c>
      <c r="I51" s="2">
        <v>195.0</v>
      </c>
      <c r="J51" s="1" t="str">
        <f t="shared" si="1"/>
        <v>1M–5M</v>
      </c>
    </row>
    <row r="52">
      <c r="A52" s="2" t="s">
        <v>186</v>
      </c>
      <c r="B52" s="2" t="s">
        <v>187</v>
      </c>
      <c r="C52" s="2" t="s">
        <v>188</v>
      </c>
      <c r="D52" s="1">
        <v>2112902.62</v>
      </c>
      <c r="E52" s="2" t="s">
        <v>156</v>
      </c>
      <c r="F52" s="1">
        <v>1651752.06</v>
      </c>
      <c r="G52" s="1">
        <v>78.17</v>
      </c>
      <c r="H52" s="2" t="s">
        <v>14</v>
      </c>
      <c r="I52" s="2">
        <v>260.0</v>
      </c>
      <c r="J52" s="1" t="str">
        <f t="shared" si="1"/>
        <v>1M–5M</v>
      </c>
    </row>
    <row r="53">
      <c r="A53" s="2" t="s">
        <v>189</v>
      </c>
      <c r="B53" s="2" t="s">
        <v>190</v>
      </c>
      <c r="C53" s="2" t="s">
        <v>191</v>
      </c>
      <c r="D53" s="1">
        <v>2073582.54</v>
      </c>
      <c r="E53" s="2" t="s">
        <v>13</v>
      </c>
      <c r="F53" s="1">
        <v>2073582.54</v>
      </c>
      <c r="G53" s="1">
        <v>100.0</v>
      </c>
      <c r="H53" s="2" t="s">
        <v>136</v>
      </c>
      <c r="I53" s="2">
        <v>89.0</v>
      </c>
      <c r="J53" s="1" t="str">
        <f t="shared" si="1"/>
        <v>1M–5M</v>
      </c>
    </row>
    <row r="54">
      <c r="A54" s="2" t="s">
        <v>192</v>
      </c>
      <c r="B54" s="2" t="s">
        <v>193</v>
      </c>
      <c r="C54" s="2" t="s">
        <v>194</v>
      </c>
      <c r="D54" s="1">
        <v>2072577.41</v>
      </c>
      <c r="E54" s="2" t="s">
        <v>156</v>
      </c>
      <c r="F54" s="1">
        <v>1181527.41</v>
      </c>
      <c r="G54" s="1">
        <v>57.01</v>
      </c>
      <c r="H54" s="2" t="s">
        <v>69</v>
      </c>
      <c r="I54" s="2">
        <v>143.0</v>
      </c>
      <c r="J54" s="1" t="str">
        <f t="shared" si="1"/>
        <v>1M–5M</v>
      </c>
    </row>
    <row r="55">
      <c r="A55" s="2" t="s">
        <v>195</v>
      </c>
      <c r="B55" s="2" t="s">
        <v>196</v>
      </c>
      <c r="C55" s="2" t="s">
        <v>197</v>
      </c>
      <c r="D55" s="1">
        <v>2070799.78</v>
      </c>
      <c r="E55" s="2" t="s">
        <v>13</v>
      </c>
      <c r="F55" s="1">
        <v>2070799.78</v>
      </c>
      <c r="G55" s="1">
        <v>100.0</v>
      </c>
      <c r="H55" s="2" t="s">
        <v>34</v>
      </c>
      <c r="I55" s="2">
        <v>113.0</v>
      </c>
      <c r="J55" s="1" t="str">
        <f t="shared" si="1"/>
        <v>1M–5M</v>
      </c>
    </row>
    <row r="56">
      <c r="A56" s="2" t="s">
        <v>198</v>
      </c>
      <c r="B56" s="2" t="s">
        <v>199</v>
      </c>
      <c r="C56" s="2" t="s">
        <v>200</v>
      </c>
      <c r="D56" s="1">
        <v>2063162.95</v>
      </c>
      <c r="E56" s="2" t="s">
        <v>13</v>
      </c>
      <c r="F56" s="1">
        <v>2063162.95</v>
      </c>
      <c r="G56" s="1">
        <v>100.0</v>
      </c>
      <c r="H56" s="2" t="s">
        <v>34</v>
      </c>
      <c r="I56" s="2">
        <v>115.0</v>
      </c>
      <c r="J56" s="1" t="str">
        <f t="shared" si="1"/>
        <v>1M–5M</v>
      </c>
    </row>
    <row r="57">
      <c r="A57" s="2" t="s">
        <v>201</v>
      </c>
      <c r="B57" s="2" t="s">
        <v>202</v>
      </c>
      <c r="C57" s="2" t="s">
        <v>203</v>
      </c>
      <c r="D57" s="1">
        <v>2058860.94</v>
      </c>
      <c r="E57" s="2" t="s">
        <v>13</v>
      </c>
      <c r="F57" s="1">
        <v>2058860.94</v>
      </c>
      <c r="G57" s="1">
        <v>100.0</v>
      </c>
      <c r="H57" s="2" t="s">
        <v>47</v>
      </c>
      <c r="I57" s="2">
        <v>59.0</v>
      </c>
      <c r="J57" s="1" t="str">
        <f t="shared" si="1"/>
        <v>1M–5M</v>
      </c>
    </row>
    <row r="58">
      <c r="A58" s="2" t="s">
        <v>204</v>
      </c>
      <c r="B58" s="2" t="s">
        <v>205</v>
      </c>
      <c r="C58" s="2" t="s">
        <v>206</v>
      </c>
      <c r="D58" s="1">
        <v>2053081.34</v>
      </c>
      <c r="E58" s="2" t="s">
        <v>13</v>
      </c>
      <c r="F58" s="1">
        <v>2053081.34</v>
      </c>
      <c r="G58" s="1">
        <v>100.0</v>
      </c>
      <c r="H58" s="2" t="s">
        <v>22</v>
      </c>
      <c r="I58" s="2">
        <v>122.0</v>
      </c>
      <c r="J58" s="1" t="str">
        <f t="shared" si="1"/>
        <v>1M–5M</v>
      </c>
    </row>
    <row r="59">
      <c r="A59" s="2" t="s">
        <v>207</v>
      </c>
      <c r="B59" s="2" t="s">
        <v>208</v>
      </c>
      <c r="C59" s="2" t="s">
        <v>209</v>
      </c>
      <c r="D59" s="1">
        <v>2047224.07</v>
      </c>
      <c r="E59" s="2" t="s">
        <v>13</v>
      </c>
      <c r="F59" s="1">
        <v>2047224.07</v>
      </c>
      <c r="G59" s="1">
        <v>100.0</v>
      </c>
      <c r="H59" s="2" t="s">
        <v>22</v>
      </c>
      <c r="I59" s="2">
        <v>47.0</v>
      </c>
      <c r="J59" s="1" t="str">
        <f t="shared" si="1"/>
        <v>1M–5M</v>
      </c>
    </row>
    <row r="60">
      <c r="A60" s="2" t="s">
        <v>210</v>
      </c>
      <c r="B60" s="2" t="s">
        <v>211</v>
      </c>
      <c r="C60" s="2" t="s">
        <v>212</v>
      </c>
      <c r="D60" s="1">
        <v>2046423.63</v>
      </c>
      <c r="E60" s="2" t="s">
        <v>156</v>
      </c>
      <c r="F60" s="1">
        <v>1881123.63</v>
      </c>
      <c r="G60" s="1">
        <v>91.92</v>
      </c>
      <c r="H60" s="2" t="s">
        <v>14</v>
      </c>
      <c r="I60" s="2">
        <v>151.0</v>
      </c>
      <c r="J60" s="1" t="str">
        <f t="shared" si="1"/>
        <v>1M–5M</v>
      </c>
    </row>
    <row r="61">
      <c r="A61" s="2" t="s">
        <v>213</v>
      </c>
      <c r="B61" s="2" t="s">
        <v>214</v>
      </c>
      <c r="C61" s="2" t="s">
        <v>215</v>
      </c>
      <c r="D61" s="1">
        <v>2040114.72</v>
      </c>
      <c r="E61" s="2" t="s">
        <v>13</v>
      </c>
      <c r="F61" s="1">
        <v>2040114.72</v>
      </c>
      <c r="G61" s="1">
        <v>100.0</v>
      </c>
      <c r="H61" s="2" t="s">
        <v>73</v>
      </c>
      <c r="I61" s="2">
        <v>56.0</v>
      </c>
      <c r="J61" s="1" t="str">
        <f t="shared" si="1"/>
        <v>1M–5M</v>
      </c>
    </row>
    <row r="62">
      <c r="A62" s="2" t="s">
        <v>216</v>
      </c>
      <c r="B62" s="2" t="s">
        <v>217</v>
      </c>
      <c r="C62" s="2" t="s">
        <v>218</v>
      </c>
      <c r="D62" s="1">
        <v>2016970.27</v>
      </c>
      <c r="E62" s="2" t="s">
        <v>13</v>
      </c>
      <c r="F62" s="1">
        <v>2015670.27</v>
      </c>
      <c r="G62" s="1">
        <v>99.94</v>
      </c>
      <c r="H62" s="2" t="s">
        <v>96</v>
      </c>
      <c r="I62" s="2">
        <v>90.0</v>
      </c>
      <c r="J62" s="1" t="str">
        <f t="shared" si="1"/>
        <v>1M–5M</v>
      </c>
    </row>
    <row r="63">
      <c r="A63" s="2" t="s">
        <v>219</v>
      </c>
      <c r="B63" s="2" t="s">
        <v>220</v>
      </c>
      <c r="C63" s="2" t="s">
        <v>221</v>
      </c>
      <c r="D63" s="1">
        <v>2005164.63</v>
      </c>
      <c r="E63" s="2" t="s">
        <v>13</v>
      </c>
      <c r="F63" s="1">
        <v>2005164.63</v>
      </c>
      <c r="G63" s="1">
        <v>100.0</v>
      </c>
      <c r="H63" s="2" t="s">
        <v>73</v>
      </c>
      <c r="I63" s="2">
        <v>27.0</v>
      </c>
      <c r="J63" s="1" t="str">
        <f t="shared" si="1"/>
        <v>1M–5M</v>
      </c>
    </row>
    <row r="64">
      <c r="A64" s="2" t="s">
        <v>222</v>
      </c>
      <c r="B64" s="2" t="s">
        <v>223</v>
      </c>
      <c r="C64" s="2" t="s">
        <v>224</v>
      </c>
      <c r="D64" s="1">
        <v>2003905.68</v>
      </c>
      <c r="E64" s="2" t="s">
        <v>225</v>
      </c>
      <c r="F64" s="1">
        <v>483750.0</v>
      </c>
      <c r="G64" s="1">
        <v>24.14</v>
      </c>
      <c r="H64" s="2" t="s">
        <v>96</v>
      </c>
      <c r="I64" s="2">
        <v>76.0</v>
      </c>
      <c r="J64" s="1" t="str">
        <f t="shared" si="1"/>
        <v>100k–500k</v>
      </c>
    </row>
    <row r="65">
      <c r="A65" s="2" t="s">
        <v>226</v>
      </c>
      <c r="B65" s="2" t="s">
        <v>227</v>
      </c>
      <c r="C65" s="2" t="s">
        <v>228</v>
      </c>
      <c r="D65" s="1">
        <v>2003061.83</v>
      </c>
      <c r="E65" s="2" t="s">
        <v>156</v>
      </c>
      <c r="F65" s="1">
        <v>2001391.93</v>
      </c>
      <c r="G65" s="1">
        <v>99.92</v>
      </c>
      <c r="H65" s="2" t="s">
        <v>14</v>
      </c>
      <c r="I65" s="2">
        <v>200.0</v>
      </c>
      <c r="J65" s="1" t="str">
        <f t="shared" si="1"/>
        <v>1M–5M</v>
      </c>
    </row>
    <row r="66">
      <c r="A66" s="2" t="s">
        <v>229</v>
      </c>
      <c r="B66" s="2" t="s">
        <v>230</v>
      </c>
      <c r="C66" s="2" t="s">
        <v>231</v>
      </c>
      <c r="D66" s="1">
        <v>1982030.82</v>
      </c>
      <c r="E66" s="2" t="s">
        <v>13</v>
      </c>
      <c r="F66" s="1">
        <v>1982030.82</v>
      </c>
      <c r="G66" s="1">
        <v>100.0</v>
      </c>
      <c r="H66" s="2" t="s">
        <v>73</v>
      </c>
      <c r="I66" s="2">
        <v>29.0</v>
      </c>
      <c r="J66" s="1" t="str">
        <f t="shared" si="1"/>
        <v>1M–5M</v>
      </c>
    </row>
    <row r="67">
      <c r="A67" s="2" t="s">
        <v>232</v>
      </c>
      <c r="B67" s="2" t="s">
        <v>233</v>
      </c>
      <c r="C67" s="2" t="s">
        <v>234</v>
      </c>
      <c r="D67" s="1">
        <v>1981640.19</v>
      </c>
      <c r="E67" s="2" t="s">
        <v>235</v>
      </c>
      <c r="F67" s="1">
        <v>1981640.19</v>
      </c>
      <c r="G67" s="1">
        <v>100.0</v>
      </c>
      <c r="H67" s="2" t="s">
        <v>73</v>
      </c>
      <c r="I67" s="2">
        <v>26.0</v>
      </c>
      <c r="J67" s="1" t="str">
        <f t="shared" si="1"/>
        <v>1M–5M</v>
      </c>
    </row>
    <row r="68">
      <c r="A68" s="2" t="s">
        <v>236</v>
      </c>
      <c r="B68" s="2" t="s">
        <v>237</v>
      </c>
      <c r="C68" s="2" t="s">
        <v>238</v>
      </c>
      <c r="D68" s="1">
        <v>1978694.93</v>
      </c>
      <c r="E68" s="2" t="s">
        <v>13</v>
      </c>
      <c r="F68" s="1">
        <v>1978694.93</v>
      </c>
      <c r="G68" s="1">
        <v>100.0</v>
      </c>
      <c r="H68" s="2" t="s">
        <v>182</v>
      </c>
      <c r="I68" s="2">
        <v>57.0</v>
      </c>
      <c r="J68" s="1" t="str">
        <f t="shared" si="1"/>
        <v>1M–5M</v>
      </c>
    </row>
    <row r="69">
      <c r="A69" s="2" t="s">
        <v>239</v>
      </c>
      <c r="B69" s="2" t="s">
        <v>240</v>
      </c>
      <c r="C69" s="2" t="s">
        <v>241</v>
      </c>
      <c r="D69" s="1">
        <v>1965451.35</v>
      </c>
      <c r="E69" s="2" t="s">
        <v>156</v>
      </c>
      <c r="F69" s="1">
        <v>1869687.1</v>
      </c>
      <c r="G69" s="1">
        <v>95.13</v>
      </c>
      <c r="H69" s="2" t="s">
        <v>14</v>
      </c>
      <c r="I69" s="2">
        <v>198.0</v>
      </c>
      <c r="J69" s="1" t="str">
        <f t="shared" si="1"/>
        <v>1M–5M</v>
      </c>
    </row>
    <row r="70">
      <c r="A70" s="2" t="s">
        <v>242</v>
      </c>
      <c r="B70" s="2" t="s">
        <v>243</v>
      </c>
      <c r="C70" s="2" t="s">
        <v>244</v>
      </c>
      <c r="D70" s="1">
        <v>1960761.59</v>
      </c>
      <c r="E70" s="2" t="s">
        <v>13</v>
      </c>
      <c r="F70" s="1">
        <v>1960761.59</v>
      </c>
      <c r="G70" s="1">
        <v>100.0</v>
      </c>
      <c r="H70" s="2" t="s">
        <v>73</v>
      </c>
      <c r="I70" s="2">
        <v>26.0</v>
      </c>
      <c r="J70" s="1" t="str">
        <f t="shared" si="1"/>
        <v>1M–5M</v>
      </c>
    </row>
    <row r="71">
      <c r="A71" s="2" t="s">
        <v>245</v>
      </c>
      <c r="B71" s="2" t="s">
        <v>246</v>
      </c>
      <c r="C71" s="2" t="s">
        <v>247</v>
      </c>
      <c r="D71" s="1">
        <v>1959500.0</v>
      </c>
      <c r="E71" s="2" t="s">
        <v>95</v>
      </c>
      <c r="F71" s="1">
        <v>1874588.8</v>
      </c>
      <c r="G71" s="1">
        <v>95.67</v>
      </c>
      <c r="H71" s="2" t="s">
        <v>96</v>
      </c>
      <c r="I71" s="2">
        <v>60.0</v>
      </c>
      <c r="J71" s="1" t="str">
        <f t="shared" si="1"/>
        <v>1M–5M</v>
      </c>
    </row>
    <row r="72">
      <c r="A72" s="2" t="s">
        <v>248</v>
      </c>
      <c r="B72" s="2" t="s">
        <v>249</v>
      </c>
      <c r="C72" s="2" t="s">
        <v>250</v>
      </c>
      <c r="D72" s="1">
        <v>1951328.33</v>
      </c>
      <c r="E72" s="2" t="s">
        <v>225</v>
      </c>
      <c r="F72" s="1">
        <v>500833.33</v>
      </c>
      <c r="G72" s="1">
        <v>25.67</v>
      </c>
      <c r="H72" s="2" t="s">
        <v>96</v>
      </c>
      <c r="I72" s="2">
        <v>68.0</v>
      </c>
      <c r="J72" s="1" t="str">
        <f t="shared" si="1"/>
        <v>500k–1M</v>
      </c>
    </row>
    <row r="73">
      <c r="A73" s="2" t="s">
        <v>251</v>
      </c>
      <c r="B73" s="2" t="s">
        <v>252</v>
      </c>
      <c r="C73" s="2" t="s">
        <v>253</v>
      </c>
      <c r="D73" s="1">
        <v>1941993.39</v>
      </c>
      <c r="E73" s="2" t="s">
        <v>235</v>
      </c>
      <c r="F73" s="1">
        <v>1941993.39</v>
      </c>
      <c r="G73" s="1">
        <v>100.0</v>
      </c>
      <c r="H73" s="2" t="s">
        <v>73</v>
      </c>
      <c r="I73" s="2">
        <v>23.0</v>
      </c>
      <c r="J73" s="1" t="str">
        <f t="shared" si="1"/>
        <v>1M–5M</v>
      </c>
    </row>
    <row r="74">
      <c r="A74" s="2" t="s">
        <v>254</v>
      </c>
      <c r="B74" s="2" t="s">
        <v>255</v>
      </c>
      <c r="C74" s="2" t="s">
        <v>256</v>
      </c>
      <c r="D74" s="1">
        <v>1922084.56</v>
      </c>
      <c r="E74" s="2" t="s">
        <v>257</v>
      </c>
      <c r="F74" s="1">
        <v>1922084.56</v>
      </c>
      <c r="G74" s="1">
        <v>100.0</v>
      </c>
      <c r="H74" s="2" t="s">
        <v>258</v>
      </c>
      <c r="I74" s="2">
        <v>74.0</v>
      </c>
      <c r="J74" s="1" t="str">
        <f t="shared" si="1"/>
        <v>1M–5M</v>
      </c>
    </row>
    <row r="75">
      <c r="A75" s="2" t="s">
        <v>259</v>
      </c>
      <c r="B75" s="2" t="s">
        <v>260</v>
      </c>
      <c r="C75" s="2" t="s">
        <v>261</v>
      </c>
      <c r="D75" s="1">
        <v>1896531.44</v>
      </c>
      <c r="E75" s="2" t="s">
        <v>13</v>
      </c>
      <c r="F75" s="1">
        <v>1896531.44</v>
      </c>
      <c r="G75" s="1">
        <v>100.0</v>
      </c>
      <c r="H75" s="2" t="s">
        <v>182</v>
      </c>
      <c r="I75" s="2">
        <v>82.0</v>
      </c>
      <c r="J75" s="1" t="str">
        <f t="shared" si="1"/>
        <v>1M–5M</v>
      </c>
    </row>
    <row r="76">
      <c r="A76" s="2" t="s">
        <v>262</v>
      </c>
      <c r="B76" s="2" t="s">
        <v>263</v>
      </c>
      <c r="C76" s="2" t="s">
        <v>264</v>
      </c>
      <c r="D76" s="1">
        <v>1877518.06</v>
      </c>
      <c r="E76" s="2" t="s">
        <v>13</v>
      </c>
      <c r="F76" s="1">
        <v>1870077.43</v>
      </c>
      <c r="G76" s="1">
        <v>99.6</v>
      </c>
      <c r="H76" s="2" t="s">
        <v>73</v>
      </c>
      <c r="I76" s="2">
        <v>58.0</v>
      </c>
      <c r="J76" s="1" t="str">
        <f t="shared" si="1"/>
        <v>1M–5M</v>
      </c>
    </row>
    <row r="77">
      <c r="A77" s="2" t="s">
        <v>265</v>
      </c>
      <c r="B77" s="2" t="s">
        <v>266</v>
      </c>
      <c r="C77" s="2" t="s">
        <v>267</v>
      </c>
      <c r="D77" s="1">
        <v>1872516.24</v>
      </c>
      <c r="E77" s="2" t="s">
        <v>156</v>
      </c>
      <c r="F77" s="1">
        <v>1444216.24</v>
      </c>
      <c r="G77" s="1">
        <v>77.13</v>
      </c>
      <c r="H77" s="2" t="s">
        <v>268</v>
      </c>
      <c r="I77" s="2">
        <v>187.0</v>
      </c>
      <c r="J77" s="1" t="str">
        <f t="shared" si="1"/>
        <v>1M–5M</v>
      </c>
    </row>
    <row r="78">
      <c r="A78" s="2" t="s">
        <v>269</v>
      </c>
      <c r="B78" s="2" t="s">
        <v>270</v>
      </c>
      <c r="C78" s="2" t="s">
        <v>271</v>
      </c>
      <c r="D78" s="1">
        <v>1866325.57</v>
      </c>
      <c r="E78" s="2" t="s">
        <v>272</v>
      </c>
      <c r="F78" s="1">
        <v>1866325.57</v>
      </c>
      <c r="G78" s="1">
        <v>100.0</v>
      </c>
      <c r="H78" s="2" t="s">
        <v>18</v>
      </c>
      <c r="I78" s="2">
        <v>184.0</v>
      </c>
      <c r="J78" s="1" t="str">
        <f t="shared" si="1"/>
        <v>1M–5M</v>
      </c>
    </row>
    <row r="79">
      <c r="A79" s="2" t="s">
        <v>273</v>
      </c>
      <c r="B79" s="2" t="s">
        <v>274</v>
      </c>
      <c r="C79" s="2" t="s">
        <v>275</v>
      </c>
      <c r="D79" s="1">
        <v>1865667.57</v>
      </c>
      <c r="E79" s="2" t="s">
        <v>13</v>
      </c>
      <c r="F79" s="1">
        <v>1865667.57</v>
      </c>
      <c r="G79" s="1">
        <v>100.0</v>
      </c>
      <c r="H79" s="2" t="s">
        <v>26</v>
      </c>
      <c r="I79" s="2">
        <v>88.0</v>
      </c>
      <c r="J79" s="1" t="str">
        <f t="shared" si="1"/>
        <v>1M–5M</v>
      </c>
    </row>
    <row r="80">
      <c r="A80" s="2" t="s">
        <v>276</v>
      </c>
      <c r="B80" s="2" t="s">
        <v>277</v>
      </c>
      <c r="C80" s="2" t="s">
        <v>278</v>
      </c>
      <c r="D80" s="1">
        <v>1857487.32</v>
      </c>
      <c r="E80" s="2" t="s">
        <v>95</v>
      </c>
      <c r="F80" s="1">
        <v>1857487.32</v>
      </c>
      <c r="G80" s="1">
        <v>100.0</v>
      </c>
      <c r="H80" s="2" t="s">
        <v>96</v>
      </c>
      <c r="I80" s="2">
        <v>138.0</v>
      </c>
      <c r="J80" s="1" t="str">
        <f t="shared" si="1"/>
        <v>1M–5M</v>
      </c>
    </row>
    <row r="81">
      <c r="A81" s="2" t="s">
        <v>279</v>
      </c>
      <c r="B81" s="2" t="s">
        <v>280</v>
      </c>
      <c r="C81" s="2" t="s">
        <v>281</v>
      </c>
      <c r="D81" s="1">
        <v>1812855.42</v>
      </c>
      <c r="E81" s="2" t="s">
        <v>13</v>
      </c>
      <c r="F81" s="1">
        <v>1810455.42</v>
      </c>
      <c r="G81" s="1">
        <v>99.87</v>
      </c>
      <c r="H81" s="2" t="s">
        <v>282</v>
      </c>
      <c r="I81" s="2">
        <v>111.0</v>
      </c>
      <c r="J81" s="1" t="str">
        <f t="shared" si="1"/>
        <v>1M–5M</v>
      </c>
    </row>
    <row r="82">
      <c r="A82" s="2" t="s">
        <v>283</v>
      </c>
      <c r="B82" s="2" t="s">
        <v>284</v>
      </c>
      <c r="C82" s="2" t="s">
        <v>285</v>
      </c>
      <c r="D82" s="1">
        <v>1795548.93</v>
      </c>
      <c r="E82" s="2" t="s">
        <v>225</v>
      </c>
      <c r="F82" s="1">
        <v>488750.0</v>
      </c>
      <c r="G82" s="1">
        <v>27.22</v>
      </c>
      <c r="H82" s="2" t="s">
        <v>96</v>
      </c>
      <c r="I82" s="2">
        <v>80.0</v>
      </c>
      <c r="J82" s="1" t="str">
        <f t="shared" si="1"/>
        <v>100k–500k</v>
      </c>
    </row>
    <row r="83">
      <c r="A83" s="2" t="s">
        <v>286</v>
      </c>
      <c r="B83" s="2" t="s">
        <v>128</v>
      </c>
      <c r="C83" s="2" t="s">
        <v>287</v>
      </c>
      <c r="D83" s="1">
        <v>1788020.11</v>
      </c>
      <c r="E83" s="2" t="s">
        <v>235</v>
      </c>
      <c r="F83" s="1">
        <v>1788020.11</v>
      </c>
      <c r="G83" s="1">
        <v>100.0</v>
      </c>
      <c r="H83" s="2" t="s">
        <v>73</v>
      </c>
      <c r="I83" s="2">
        <v>29.0</v>
      </c>
      <c r="J83" s="1" t="str">
        <f t="shared" si="1"/>
        <v>1M–5M</v>
      </c>
    </row>
    <row r="84">
      <c r="A84" s="2" t="s">
        <v>288</v>
      </c>
      <c r="B84" s="2" t="s">
        <v>289</v>
      </c>
      <c r="C84" s="2" t="s">
        <v>290</v>
      </c>
      <c r="D84" s="1">
        <v>1777243.1</v>
      </c>
      <c r="E84" s="2" t="s">
        <v>156</v>
      </c>
      <c r="F84" s="1">
        <v>1546793.1</v>
      </c>
      <c r="G84" s="1">
        <v>87.03</v>
      </c>
      <c r="H84" s="2" t="s">
        <v>136</v>
      </c>
      <c r="I84" s="2">
        <v>152.0</v>
      </c>
      <c r="J84" s="1" t="str">
        <f t="shared" si="1"/>
        <v>1M–5M</v>
      </c>
    </row>
    <row r="85">
      <c r="A85" s="2" t="s">
        <v>291</v>
      </c>
      <c r="B85" s="2" t="s">
        <v>292</v>
      </c>
      <c r="C85" s="2" t="s">
        <v>293</v>
      </c>
      <c r="D85" s="1">
        <v>1764633.21</v>
      </c>
      <c r="E85" s="2" t="s">
        <v>13</v>
      </c>
      <c r="F85" s="1">
        <v>1746056.72</v>
      </c>
      <c r="G85" s="1">
        <v>98.95</v>
      </c>
      <c r="H85" s="2" t="s">
        <v>73</v>
      </c>
      <c r="I85" s="2">
        <v>108.0</v>
      </c>
      <c r="J85" s="1" t="str">
        <f t="shared" si="1"/>
        <v>1M–5M</v>
      </c>
    </row>
    <row r="86">
      <c r="A86" s="2" t="s">
        <v>294</v>
      </c>
      <c r="B86" s="2" t="s">
        <v>295</v>
      </c>
      <c r="C86" s="2" t="s">
        <v>296</v>
      </c>
      <c r="D86" s="1">
        <v>1764310.33</v>
      </c>
      <c r="E86" s="2" t="s">
        <v>13</v>
      </c>
      <c r="F86" s="1">
        <v>1744279.68</v>
      </c>
      <c r="G86" s="1">
        <v>98.86</v>
      </c>
      <c r="H86" s="2" t="s">
        <v>73</v>
      </c>
      <c r="I86" s="2">
        <v>94.0</v>
      </c>
      <c r="J86" s="1" t="str">
        <f t="shared" si="1"/>
        <v>1M–5M</v>
      </c>
    </row>
    <row r="87">
      <c r="A87" s="2" t="s">
        <v>297</v>
      </c>
      <c r="B87" s="2" t="s">
        <v>298</v>
      </c>
      <c r="C87" s="2" t="s">
        <v>299</v>
      </c>
      <c r="D87" s="1">
        <v>1761674.53</v>
      </c>
      <c r="E87" s="2" t="s">
        <v>13</v>
      </c>
      <c r="F87" s="1">
        <v>1755233.44</v>
      </c>
      <c r="G87" s="1">
        <v>99.63</v>
      </c>
      <c r="H87" s="2" t="s">
        <v>73</v>
      </c>
      <c r="I87" s="2">
        <v>60.0</v>
      </c>
      <c r="J87" s="1" t="str">
        <f t="shared" si="1"/>
        <v>1M–5M</v>
      </c>
    </row>
    <row r="88">
      <c r="A88" s="2" t="s">
        <v>300</v>
      </c>
      <c r="B88" s="2" t="s">
        <v>301</v>
      </c>
      <c r="C88" s="2" t="s">
        <v>302</v>
      </c>
      <c r="D88" s="1">
        <v>1752160.15</v>
      </c>
      <c r="E88" s="2" t="s">
        <v>156</v>
      </c>
      <c r="F88" s="1">
        <v>1301037.58</v>
      </c>
      <c r="G88" s="1">
        <v>74.25</v>
      </c>
      <c r="H88" s="2" t="s">
        <v>303</v>
      </c>
      <c r="I88" s="2">
        <v>193.0</v>
      </c>
      <c r="J88" s="1" t="str">
        <f t="shared" si="1"/>
        <v>1M–5M</v>
      </c>
    </row>
    <row r="89">
      <c r="A89" s="2" t="s">
        <v>304</v>
      </c>
      <c r="B89" s="2" t="s">
        <v>305</v>
      </c>
      <c r="C89" s="2" t="s">
        <v>306</v>
      </c>
      <c r="D89" s="1">
        <v>1733385.13</v>
      </c>
      <c r="E89" s="2" t="s">
        <v>13</v>
      </c>
      <c r="F89" s="1">
        <v>1733385.13</v>
      </c>
      <c r="G89" s="1">
        <v>100.0</v>
      </c>
      <c r="H89" s="2" t="s">
        <v>22</v>
      </c>
      <c r="I89" s="2">
        <v>82.0</v>
      </c>
      <c r="J89" s="1" t="str">
        <f t="shared" si="1"/>
        <v>1M–5M</v>
      </c>
    </row>
    <row r="90">
      <c r="A90" s="2" t="s">
        <v>307</v>
      </c>
      <c r="B90" s="2" t="s">
        <v>308</v>
      </c>
      <c r="C90" s="2" t="s">
        <v>309</v>
      </c>
      <c r="D90" s="1">
        <v>1723255.32</v>
      </c>
      <c r="E90" s="2" t="s">
        <v>156</v>
      </c>
      <c r="F90" s="1">
        <v>1718355.32</v>
      </c>
      <c r="G90" s="1">
        <v>99.72</v>
      </c>
      <c r="H90" s="2" t="s">
        <v>34</v>
      </c>
      <c r="I90" s="2">
        <v>154.0</v>
      </c>
      <c r="J90" s="1" t="str">
        <f t="shared" si="1"/>
        <v>1M–5M</v>
      </c>
    </row>
    <row r="91">
      <c r="A91" s="2" t="s">
        <v>310</v>
      </c>
      <c r="B91" s="2" t="s">
        <v>311</v>
      </c>
      <c r="C91" s="2" t="s">
        <v>312</v>
      </c>
      <c r="D91" s="1">
        <v>1716947.58</v>
      </c>
      <c r="E91" s="2" t="s">
        <v>235</v>
      </c>
      <c r="F91" s="1">
        <v>1716947.58</v>
      </c>
      <c r="G91" s="1">
        <v>100.0</v>
      </c>
      <c r="H91" s="2" t="s">
        <v>73</v>
      </c>
      <c r="I91" s="2">
        <v>22.0</v>
      </c>
      <c r="J91" s="1" t="str">
        <f t="shared" si="1"/>
        <v>1M–5M</v>
      </c>
    </row>
    <row r="92">
      <c r="A92" s="2" t="s">
        <v>313</v>
      </c>
      <c r="B92" s="2" t="s">
        <v>314</v>
      </c>
      <c r="C92" s="2" t="s">
        <v>315</v>
      </c>
      <c r="D92" s="1">
        <v>1696239.05</v>
      </c>
      <c r="E92" s="2" t="s">
        <v>235</v>
      </c>
      <c r="F92" s="1">
        <v>1696239.05</v>
      </c>
      <c r="G92" s="1">
        <v>100.0</v>
      </c>
      <c r="H92" s="2" t="s">
        <v>73</v>
      </c>
      <c r="I92" s="2">
        <v>14.0</v>
      </c>
      <c r="J92" s="1" t="str">
        <f t="shared" si="1"/>
        <v>1M–5M</v>
      </c>
    </row>
    <row r="93">
      <c r="A93" s="2" t="s">
        <v>316</v>
      </c>
      <c r="B93" s="2" t="s">
        <v>317</v>
      </c>
      <c r="C93" s="2" t="s">
        <v>318</v>
      </c>
      <c r="D93" s="1">
        <v>1670234.31</v>
      </c>
      <c r="E93" s="2" t="s">
        <v>319</v>
      </c>
      <c r="F93" s="1">
        <v>852350.0</v>
      </c>
      <c r="G93" s="1">
        <v>51.03</v>
      </c>
      <c r="H93" s="2" t="s">
        <v>30</v>
      </c>
      <c r="I93" s="2">
        <v>132.0</v>
      </c>
      <c r="J93" s="1" t="str">
        <f t="shared" si="1"/>
        <v>500k–1M</v>
      </c>
    </row>
    <row r="94">
      <c r="A94" s="2" t="s">
        <v>320</v>
      </c>
      <c r="B94" s="2" t="s">
        <v>321</v>
      </c>
      <c r="C94" s="2" t="s">
        <v>322</v>
      </c>
      <c r="D94" s="1">
        <v>1669167.01</v>
      </c>
      <c r="E94" s="2" t="s">
        <v>156</v>
      </c>
      <c r="F94" s="1">
        <v>1558058.67</v>
      </c>
      <c r="G94" s="1">
        <v>93.34</v>
      </c>
      <c r="H94" s="2" t="s">
        <v>22</v>
      </c>
      <c r="I94" s="2">
        <v>138.0</v>
      </c>
      <c r="J94" s="1" t="str">
        <f t="shared" si="1"/>
        <v>1M–5M</v>
      </c>
    </row>
    <row r="95">
      <c r="A95" s="2" t="s">
        <v>323</v>
      </c>
      <c r="B95" s="2" t="s">
        <v>324</v>
      </c>
      <c r="C95" s="2" t="s">
        <v>325</v>
      </c>
      <c r="D95" s="1">
        <v>1668931.71</v>
      </c>
      <c r="E95" s="2" t="s">
        <v>235</v>
      </c>
      <c r="F95" s="1">
        <v>1668931.71</v>
      </c>
      <c r="G95" s="1">
        <v>100.0</v>
      </c>
      <c r="H95" s="2" t="s">
        <v>73</v>
      </c>
      <c r="I95" s="2">
        <v>19.0</v>
      </c>
      <c r="J95" s="1" t="str">
        <f t="shared" si="1"/>
        <v>1M–5M</v>
      </c>
    </row>
    <row r="96">
      <c r="A96" s="2" t="s">
        <v>326</v>
      </c>
      <c r="B96" s="2" t="s">
        <v>327</v>
      </c>
      <c r="C96" s="2" t="s">
        <v>328</v>
      </c>
      <c r="D96" s="1">
        <v>1631265.55</v>
      </c>
      <c r="E96" s="2" t="s">
        <v>235</v>
      </c>
      <c r="F96" s="1">
        <v>1631265.55</v>
      </c>
      <c r="G96" s="1">
        <v>100.0</v>
      </c>
      <c r="H96" s="2" t="s">
        <v>73</v>
      </c>
      <c r="I96" s="2">
        <v>18.0</v>
      </c>
      <c r="J96" s="1" t="str">
        <f t="shared" si="1"/>
        <v>1M–5M</v>
      </c>
    </row>
    <row r="97">
      <c r="A97" s="2" t="s">
        <v>329</v>
      </c>
      <c r="B97" s="2" t="s">
        <v>330</v>
      </c>
      <c r="C97" s="2" t="s">
        <v>331</v>
      </c>
      <c r="D97" s="1">
        <v>1622990.05</v>
      </c>
      <c r="E97" s="2" t="s">
        <v>95</v>
      </c>
      <c r="F97" s="1">
        <v>1622990.05</v>
      </c>
      <c r="G97" s="1">
        <v>100.0</v>
      </c>
      <c r="H97" s="2" t="s">
        <v>14</v>
      </c>
      <c r="I97" s="2">
        <v>139.0</v>
      </c>
      <c r="J97" s="1" t="str">
        <f t="shared" si="1"/>
        <v>1M–5M</v>
      </c>
    </row>
    <row r="98">
      <c r="A98" s="2" t="s">
        <v>332</v>
      </c>
      <c r="B98" s="2" t="s">
        <v>333</v>
      </c>
      <c r="C98" s="2" t="s">
        <v>334</v>
      </c>
      <c r="D98" s="1">
        <v>1571051.02</v>
      </c>
      <c r="E98" s="2" t="s">
        <v>335</v>
      </c>
      <c r="F98" s="1">
        <v>888242.12</v>
      </c>
      <c r="G98" s="1">
        <v>56.54</v>
      </c>
      <c r="H98" s="2" t="s">
        <v>268</v>
      </c>
      <c r="I98" s="2">
        <v>147.0</v>
      </c>
      <c r="J98" s="1" t="str">
        <f t="shared" si="1"/>
        <v>500k–1M</v>
      </c>
    </row>
    <row r="99">
      <c r="A99" s="2" t="s">
        <v>336</v>
      </c>
      <c r="B99" s="2" t="s">
        <v>337</v>
      </c>
      <c r="C99" s="2" t="s">
        <v>338</v>
      </c>
      <c r="D99" s="1">
        <v>1570503.07</v>
      </c>
      <c r="E99" s="2" t="s">
        <v>13</v>
      </c>
      <c r="F99" s="1">
        <v>1570503.07</v>
      </c>
      <c r="G99" s="1">
        <v>100.0</v>
      </c>
      <c r="H99" s="2" t="s">
        <v>73</v>
      </c>
      <c r="I99" s="2">
        <v>77.0</v>
      </c>
      <c r="J99" s="1" t="str">
        <f t="shared" si="1"/>
        <v>1M–5M</v>
      </c>
    </row>
    <row r="100">
      <c r="A100" s="2" t="s">
        <v>339</v>
      </c>
      <c r="B100" s="2" t="s">
        <v>340</v>
      </c>
      <c r="C100" s="2" t="s">
        <v>341</v>
      </c>
      <c r="D100" s="1">
        <v>1563525.34</v>
      </c>
      <c r="E100" s="2" t="s">
        <v>95</v>
      </c>
      <c r="F100" s="1">
        <v>1563525.34</v>
      </c>
      <c r="G100" s="1">
        <v>100.0</v>
      </c>
      <c r="H100" s="2" t="s">
        <v>91</v>
      </c>
      <c r="I100" s="2">
        <v>194.0</v>
      </c>
      <c r="J100" s="1" t="str">
        <f t="shared" si="1"/>
        <v>1M–5M</v>
      </c>
    </row>
    <row r="101">
      <c r="A101" s="2" t="s">
        <v>342</v>
      </c>
      <c r="B101" s="2" t="s">
        <v>343</v>
      </c>
      <c r="C101" s="2" t="s">
        <v>344</v>
      </c>
      <c r="D101" s="1">
        <v>1544979.29</v>
      </c>
      <c r="E101" s="2" t="s">
        <v>235</v>
      </c>
      <c r="F101" s="1">
        <v>1544979.29</v>
      </c>
      <c r="G101" s="1">
        <v>100.0</v>
      </c>
      <c r="H101" s="2" t="s">
        <v>73</v>
      </c>
      <c r="I101" s="2">
        <v>19.0</v>
      </c>
      <c r="J101" s="1" t="str">
        <f t="shared" si="1"/>
        <v>1M–5M</v>
      </c>
    </row>
    <row r="102">
      <c r="A102" s="2" t="s">
        <v>345</v>
      </c>
      <c r="B102" s="2" t="s">
        <v>346</v>
      </c>
      <c r="C102" s="2" t="s">
        <v>347</v>
      </c>
      <c r="D102" s="1">
        <v>1543145.69</v>
      </c>
      <c r="E102" s="2" t="s">
        <v>95</v>
      </c>
      <c r="F102" s="1">
        <v>1543145.69</v>
      </c>
      <c r="G102" s="1">
        <v>100.0</v>
      </c>
      <c r="H102" s="2" t="s">
        <v>268</v>
      </c>
      <c r="I102" s="2">
        <v>33.0</v>
      </c>
      <c r="J102" s="1" t="str">
        <f t="shared" si="1"/>
        <v>1M–5M</v>
      </c>
    </row>
    <row r="103">
      <c r="A103" s="2" t="s">
        <v>348</v>
      </c>
      <c r="B103" s="2" t="s">
        <v>349</v>
      </c>
      <c r="C103" s="2" t="s">
        <v>350</v>
      </c>
      <c r="D103" s="1">
        <v>1538841.42</v>
      </c>
      <c r="E103" s="2" t="s">
        <v>13</v>
      </c>
      <c r="F103" s="1">
        <v>1538841.42</v>
      </c>
      <c r="G103" s="1">
        <v>100.0</v>
      </c>
      <c r="H103" s="2" t="s">
        <v>73</v>
      </c>
      <c r="I103" s="2">
        <v>99.0</v>
      </c>
      <c r="J103" s="1" t="str">
        <f t="shared" si="1"/>
        <v>1M–5M</v>
      </c>
    </row>
    <row r="104">
      <c r="A104" s="2" t="s">
        <v>351</v>
      </c>
      <c r="B104" s="2" t="s">
        <v>352</v>
      </c>
      <c r="C104" s="2" t="s">
        <v>353</v>
      </c>
      <c r="D104" s="1">
        <v>1535720.98</v>
      </c>
      <c r="E104" s="2" t="s">
        <v>13</v>
      </c>
      <c r="F104" s="1">
        <v>1535720.98</v>
      </c>
      <c r="G104" s="1">
        <v>100.0</v>
      </c>
      <c r="H104" s="2" t="s">
        <v>73</v>
      </c>
      <c r="I104" s="2">
        <v>78.0</v>
      </c>
      <c r="J104" s="1" t="str">
        <f t="shared" si="1"/>
        <v>1M–5M</v>
      </c>
    </row>
    <row r="105">
      <c r="A105" s="2" t="s">
        <v>354</v>
      </c>
      <c r="B105" s="2" t="s">
        <v>355</v>
      </c>
      <c r="C105" s="2" t="s">
        <v>356</v>
      </c>
      <c r="D105" s="1">
        <v>1529400.71</v>
      </c>
      <c r="E105" s="2" t="s">
        <v>13</v>
      </c>
      <c r="F105" s="1">
        <v>1528948.03</v>
      </c>
      <c r="G105" s="1">
        <v>99.97</v>
      </c>
      <c r="H105" s="2" t="s">
        <v>73</v>
      </c>
      <c r="I105" s="2">
        <v>82.0</v>
      </c>
      <c r="J105" s="1" t="str">
        <f t="shared" si="1"/>
        <v>1M–5M</v>
      </c>
    </row>
    <row r="106">
      <c r="A106" s="2" t="s">
        <v>357</v>
      </c>
      <c r="B106" s="2" t="s">
        <v>358</v>
      </c>
      <c r="C106" s="2" t="s">
        <v>359</v>
      </c>
      <c r="D106" s="1">
        <v>1527561.42</v>
      </c>
      <c r="E106" s="2" t="s">
        <v>13</v>
      </c>
      <c r="F106" s="1">
        <v>1527561.42</v>
      </c>
      <c r="G106" s="1">
        <v>100.0</v>
      </c>
      <c r="H106" s="2" t="s">
        <v>73</v>
      </c>
      <c r="I106" s="2">
        <v>76.0</v>
      </c>
      <c r="J106" s="1" t="str">
        <f t="shared" si="1"/>
        <v>1M–5M</v>
      </c>
    </row>
    <row r="107">
      <c r="A107" s="2" t="s">
        <v>360</v>
      </c>
      <c r="B107" s="2" t="s">
        <v>361</v>
      </c>
      <c r="C107" s="2" t="s">
        <v>362</v>
      </c>
      <c r="D107" s="1">
        <v>1523775.0</v>
      </c>
      <c r="E107" s="2" t="s">
        <v>363</v>
      </c>
      <c r="F107" s="1">
        <v>355500.0</v>
      </c>
      <c r="G107" s="1">
        <v>23.33</v>
      </c>
      <c r="H107" s="2" t="s">
        <v>96</v>
      </c>
      <c r="I107" s="2">
        <v>86.0</v>
      </c>
      <c r="J107" s="1" t="str">
        <f t="shared" si="1"/>
        <v>100k–500k</v>
      </c>
    </row>
    <row r="108">
      <c r="A108" s="2" t="s">
        <v>364</v>
      </c>
      <c r="B108" s="2" t="s">
        <v>365</v>
      </c>
      <c r="C108" s="2" t="s">
        <v>366</v>
      </c>
      <c r="D108" s="1">
        <v>1508589.45</v>
      </c>
      <c r="E108" s="2" t="s">
        <v>235</v>
      </c>
      <c r="F108" s="1">
        <v>1508589.45</v>
      </c>
      <c r="G108" s="1">
        <v>100.0</v>
      </c>
      <c r="H108" s="2" t="s">
        <v>73</v>
      </c>
      <c r="I108" s="2">
        <v>18.0</v>
      </c>
      <c r="J108" s="1" t="str">
        <f t="shared" si="1"/>
        <v>1M–5M</v>
      </c>
    </row>
    <row r="109">
      <c r="A109" s="2" t="s">
        <v>367</v>
      </c>
      <c r="B109" s="2" t="s">
        <v>368</v>
      </c>
      <c r="C109" s="2" t="s">
        <v>369</v>
      </c>
      <c r="D109" s="1">
        <v>1505197.74</v>
      </c>
      <c r="E109" s="2" t="s">
        <v>13</v>
      </c>
      <c r="F109" s="1">
        <v>1502601.92</v>
      </c>
      <c r="G109" s="1">
        <v>99.83</v>
      </c>
      <c r="H109" s="2" t="s">
        <v>14</v>
      </c>
      <c r="I109" s="2">
        <v>94.0</v>
      </c>
      <c r="J109" s="1" t="str">
        <f t="shared" si="1"/>
        <v>1M–5M</v>
      </c>
    </row>
    <row r="110">
      <c r="A110" s="2" t="s">
        <v>370</v>
      </c>
      <c r="B110" s="2" t="s">
        <v>371</v>
      </c>
      <c r="C110" s="2" t="s">
        <v>372</v>
      </c>
      <c r="D110" s="1">
        <v>1461957.7</v>
      </c>
      <c r="E110" s="2" t="s">
        <v>156</v>
      </c>
      <c r="F110" s="1">
        <v>1050707.7</v>
      </c>
      <c r="G110" s="1">
        <v>71.87</v>
      </c>
      <c r="H110" s="2" t="s">
        <v>34</v>
      </c>
      <c r="I110" s="2">
        <v>75.0</v>
      </c>
      <c r="J110" s="1" t="str">
        <f t="shared" si="1"/>
        <v>1M–5M</v>
      </c>
    </row>
    <row r="111">
      <c r="A111" s="2" t="s">
        <v>373</v>
      </c>
      <c r="B111" s="2" t="s">
        <v>374</v>
      </c>
      <c r="C111" s="2" t="s">
        <v>375</v>
      </c>
      <c r="D111" s="1">
        <v>1455949.6</v>
      </c>
      <c r="E111" s="2" t="s">
        <v>13</v>
      </c>
      <c r="F111" s="1">
        <v>1455949.6</v>
      </c>
      <c r="G111" s="1">
        <v>100.0</v>
      </c>
      <c r="H111" s="2" t="s">
        <v>22</v>
      </c>
      <c r="I111" s="2">
        <v>54.0</v>
      </c>
      <c r="J111" s="1" t="str">
        <f t="shared" si="1"/>
        <v>1M–5M</v>
      </c>
    </row>
    <row r="112">
      <c r="A112" s="2" t="s">
        <v>376</v>
      </c>
      <c r="B112" s="2" t="s">
        <v>377</v>
      </c>
      <c r="C112" s="2" t="s">
        <v>378</v>
      </c>
      <c r="D112" s="1">
        <v>1455614.85</v>
      </c>
      <c r="E112" s="2" t="s">
        <v>379</v>
      </c>
      <c r="F112" s="1">
        <v>1453174.85</v>
      </c>
      <c r="G112" s="1">
        <v>99.83</v>
      </c>
      <c r="H112" s="2" t="s">
        <v>380</v>
      </c>
      <c r="I112" s="2">
        <v>15.0</v>
      </c>
      <c r="J112" s="1" t="str">
        <f t="shared" si="1"/>
        <v>1M–5M</v>
      </c>
    </row>
    <row r="113">
      <c r="A113" s="2" t="s">
        <v>381</v>
      </c>
      <c r="B113" s="2" t="s">
        <v>382</v>
      </c>
      <c r="C113" s="2" t="s">
        <v>383</v>
      </c>
      <c r="D113" s="1">
        <v>1428804.09</v>
      </c>
      <c r="E113" s="2" t="s">
        <v>225</v>
      </c>
      <c r="F113" s="1">
        <v>487500.0</v>
      </c>
      <c r="G113" s="1">
        <v>34.12</v>
      </c>
      <c r="H113" s="2" t="s">
        <v>96</v>
      </c>
      <c r="I113" s="2">
        <v>63.0</v>
      </c>
      <c r="J113" s="1" t="str">
        <f t="shared" si="1"/>
        <v>100k–500k</v>
      </c>
    </row>
    <row r="114">
      <c r="A114" s="2" t="s">
        <v>384</v>
      </c>
      <c r="B114" s="2" t="s">
        <v>385</v>
      </c>
      <c r="C114" s="2" t="s">
        <v>386</v>
      </c>
      <c r="D114" s="1">
        <v>1426546.0</v>
      </c>
      <c r="E114" s="2" t="s">
        <v>387</v>
      </c>
      <c r="F114" s="1">
        <v>1420546.0</v>
      </c>
      <c r="G114" s="1">
        <v>99.58</v>
      </c>
      <c r="H114" s="2" t="s">
        <v>73</v>
      </c>
      <c r="I114" s="2">
        <v>41.0</v>
      </c>
      <c r="J114" s="1" t="str">
        <f t="shared" si="1"/>
        <v>1M–5M</v>
      </c>
    </row>
    <row r="115">
      <c r="A115" s="2" t="s">
        <v>388</v>
      </c>
      <c r="B115" s="2" t="s">
        <v>389</v>
      </c>
      <c r="C115" s="2" t="s">
        <v>390</v>
      </c>
      <c r="D115" s="1">
        <v>1423831.7</v>
      </c>
      <c r="E115" s="2" t="s">
        <v>13</v>
      </c>
      <c r="F115" s="1">
        <v>1422817.33</v>
      </c>
      <c r="G115" s="1">
        <v>99.93</v>
      </c>
      <c r="H115" s="2" t="s">
        <v>391</v>
      </c>
      <c r="I115" s="2">
        <v>63.0</v>
      </c>
      <c r="J115" s="1" t="str">
        <f t="shared" si="1"/>
        <v>1M–5M</v>
      </c>
    </row>
    <row r="116">
      <c r="A116" s="2" t="s">
        <v>392</v>
      </c>
      <c r="B116" s="2" t="s">
        <v>393</v>
      </c>
      <c r="C116" s="2" t="s">
        <v>394</v>
      </c>
      <c r="D116" s="1">
        <v>1418092.8</v>
      </c>
      <c r="E116" s="2" t="s">
        <v>363</v>
      </c>
      <c r="F116" s="1">
        <v>353000.0</v>
      </c>
      <c r="G116" s="1">
        <v>24.89</v>
      </c>
      <c r="H116" s="2" t="s">
        <v>96</v>
      </c>
      <c r="I116" s="2">
        <v>172.0</v>
      </c>
      <c r="J116" s="1" t="str">
        <f t="shared" si="1"/>
        <v>100k–500k</v>
      </c>
    </row>
    <row r="117">
      <c r="A117" s="2" t="s">
        <v>395</v>
      </c>
      <c r="B117" s="2" t="s">
        <v>396</v>
      </c>
      <c r="C117" s="2" t="s">
        <v>397</v>
      </c>
      <c r="D117" s="1">
        <v>1417437.61</v>
      </c>
      <c r="E117" s="2" t="s">
        <v>235</v>
      </c>
      <c r="F117" s="1">
        <v>1417437.61</v>
      </c>
      <c r="G117" s="1">
        <v>100.0</v>
      </c>
      <c r="H117" s="2" t="s">
        <v>73</v>
      </c>
      <c r="I117" s="2">
        <v>22.0</v>
      </c>
      <c r="J117" s="1" t="str">
        <f t="shared" si="1"/>
        <v>1M–5M</v>
      </c>
    </row>
    <row r="118">
      <c r="A118" s="2" t="s">
        <v>398</v>
      </c>
      <c r="B118" s="2" t="s">
        <v>399</v>
      </c>
      <c r="C118" s="2" t="s">
        <v>400</v>
      </c>
      <c r="D118" s="1">
        <v>1410552.48</v>
      </c>
      <c r="E118" s="2" t="s">
        <v>13</v>
      </c>
      <c r="F118" s="1">
        <v>1410552.48</v>
      </c>
      <c r="G118" s="1">
        <v>100.0</v>
      </c>
      <c r="H118" s="2" t="s">
        <v>47</v>
      </c>
      <c r="I118" s="2">
        <v>121.0</v>
      </c>
      <c r="J118" s="1" t="str">
        <f t="shared" si="1"/>
        <v>1M–5M</v>
      </c>
    </row>
    <row r="119">
      <c r="A119" s="2" t="s">
        <v>401</v>
      </c>
      <c r="B119" s="2" t="s">
        <v>402</v>
      </c>
      <c r="C119" s="2" t="s">
        <v>403</v>
      </c>
      <c r="D119" s="1">
        <v>1406042.25</v>
      </c>
      <c r="E119" s="2" t="s">
        <v>13</v>
      </c>
      <c r="F119" s="1">
        <v>1406042.25</v>
      </c>
      <c r="G119" s="1">
        <v>100.0</v>
      </c>
      <c r="H119" s="2" t="s">
        <v>73</v>
      </c>
      <c r="I119" s="2">
        <v>77.0</v>
      </c>
      <c r="J119" s="1" t="str">
        <f t="shared" si="1"/>
        <v>1M–5M</v>
      </c>
    </row>
    <row r="120">
      <c r="A120" s="2" t="s">
        <v>404</v>
      </c>
      <c r="B120" s="2" t="s">
        <v>405</v>
      </c>
      <c r="C120" s="2" t="s">
        <v>406</v>
      </c>
      <c r="D120" s="1">
        <v>1404636.1</v>
      </c>
      <c r="E120" s="2" t="s">
        <v>13</v>
      </c>
      <c r="F120" s="1">
        <v>1404636.1</v>
      </c>
      <c r="G120" s="1">
        <v>100.0</v>
      </c>
      <c r="H120" s="2" t="s">
        <v>407</v>
      </c>
      <c r="I120" s="2">
        <v>72.0</v>
      </c>
      <c r="J120" s="1" t="str">
        <f t="shared" si="1"/>
        <v>1M–5M</v>
      </c>
    </row>
    <row r="121">
      <c r="A121" s="2" t="s">
        <v>408</v>
      </c>
      <c r="B121" s="2" t="s">
        <v>409</v>
      </c>
      <c r="C121" s="2" t="s">
        <v>410</v>
      </c>
      <c r="D121" s="1">
        <v>1403112.86</v>
      </c>
      <c r="E121" s="2" t="s">
        <v>235</v>
      </c>
      <c r="F121" s="1">
        <v>1403112.86</v>
      </c>
      <c r="G121" s="1">
        <v>100.0</v>
      </c>
      <c r="H121" s="2" t="s">
        <v>73</v>
      </c>
      <c r="I121" s="2">
        <v>17.0</v>
      </c>
      <c r="J121" s="1" t="str">
        <f t="shared" si="1"/>
        <v>1M–5M</v>
      </c>
    </row>
    <row r="122">
      <c r="A122" s="2" t="s">
        <v>411</v>
      </c>
      <c r="B122" s="2" t="s">
        <v>412</v>
      </c>
      <c r="C122" s="2" t="s">
        <v>413</v>
      </c>
      <c r="D122" s="1">
        <v>1390711.71</v>
      </c>
      <c r="E122" s="2" t="s">
        <v>13</v>
      </c>
      <c r="F122" s="1">
        <v>1386339.43</v>
      </c>
      <c r="G122" s="1">
        <v>99.69</v>
      </c>
      <c r="H122" s="2" t="s">
        <v>73</v>
      </c>
      <c r="I122" s="2">
        <v>48.0</v>
      </c>
      <c r="J122" s="1" t="str">
        <f t="shared" si="1"/>
        <v>1M–5M</v>
      </c>
    </row>
    <row r="123">
      <c r="A123" s="2" t="s">
        <v>414</v>
      </c>
      <c r="B123" s="2" t="s">
        <v>415</v>
      </c>
      <c r="C123" s="2" t="s">
        <v>416</v>
      </c>
      <c r="D123" s="1">
        <v>1386351.22</v>
      </c>
      <c r="E123" s="2" t="s">
        <v>272</v>
      </c>
      <c r="F123" s="1">
        <v>1386351.22</v>
      </c>
      <c r="G123" s="1">
        <v>100.0</v>
      </c>
      <c r="H123" s="2" t="s">
        <v>258</v>
      </c>
      <c r="I123" s="2">
        <v>203.0</v>
      </c>
      <c r="J123" s="1" t="str">
        <f t="shared" si="1"/>
        <v>1M–5M</v>
      </c>
    </row>
    <row r="124">
      <c r="A124" s="2" t="s">
        <v>417</v>
      </c>
      <c r="B124" s="2" t="s">
        <v>418</v>
      </c>
      <c r="C124" s="2" t="s">
        <v>419</v>
      </c>
      <c r="D124" s="1">
        <v>1382064.91</v>
      </c>
      <c r="E124" s="2" t="s">
        <v>13</v>
      </c>
      <c r="F124" s="1">
        <v>1382064.91</v>
      </c>
      <c r="G124" s="1">
        <v>100.0</v>
      </c>
      <c r="H124" s="2" t="s">
        <v>420</v>
      </c>
      <c r="I124" s="2">
        <v>91.0</v>
      </c>
      <c r="J124" s="1" t="str">
        <f t="shared" si="1"/>
        <v>1M–5M</v>
      </c>
    </row>
    <row r="125">
      <c r="A125" s="2" t="s">
        <v>421</v>
      </c>
      <c r="B125" s="2" t="s">
        <v>422</v>
      </c>
      <c r="C125" s="2" t="s">
        <v>423</v>
      </c>
      <c r="D125" s="1">
        <v>1376756.1</v>
      </c>
      <c r="E125" s="2" t="s">
        <v>235</v>
      </c>
      <c r="F125" s="1">
        <v>1376756.1</v>
      </c>
      <c r="G125" s="1">
        <v>100.0</v>
      </c>
      <c r="H125" s="2" t="s">
        <v>73</v>
      </c>
      <c r="I125" s="2">
        <v>8.0</v>
      </c>
      <c r="J125" s="1" t="str">
        <f t="shared" si="1"/>
        <v>1M–5M</v>
      </c>
    </row>
    <row r="126">
      <c r="A126" s="2" t="s">
        <v>424</v>
      </c>
      <c r="B126" s="2" t="s">
        <v>425</v>
      </c>
      <c r="C126" s="2" t="s">
        <v>426</v>
      </c>
      <c r="D126" s="1">
        <v>1368308.07</v>
      </c>
      <c r="E126" s="2" t="s">
        <v>95</v>
      </c>
      <c r="F126" s="1">
        <v>1368308.07</v>
      </c>
      <c r="G126" s="1">
        <v>100.0</v>
      </c>
      <c r="H126" s="2" t="s">
        <v>427</v>
      </c>
      <c r="I126" s="2">
        <v>58.0</v>
      </c>
      <c r="J126" s="1" t="str">
        <f t="shared" si="1"/>
        <v>1M–5M</v>
      </c>
    </row>
    <row r="127">
      <c r="A127" s="2" t="s">
        <v>428</v>
      </c>
      <c r="B127" s="2" t="s">
        <v>429</v>
      </c>
      <c r="C127" s="2" t="s">
        <v>430</v>
      </c>
      <c r="D127" s="1">
        <v>1363502.91</v>
      </c>
      <c r="E127" s="2" t="s">
        <v>95</v>
      </c>
      <c r="F127" s="1">
        <v>1363502.91</v>
      </c>
      <c r="G127" s="1">
        <v>100.0</v>
      </c>
      <c r="H127" s="2" t="s">
        <v>14</v>
      </c>
      <c r="I127" s="2">
        <v>231.0</v>
      </c>
      <c r="J127" s="1" t="str">
        <f t="shared" si="1"/>
        <v>1M–5M</v>
      </c>
    </row>
    <row r="128">
      <c r="A128" s="2" t="s">
        <v>431</v>
      </c>
      <c r="B128" s="2" t="s">
        <v>432</v>
      </c>
      <c r="C128" s="2" t="s">
        <v>433</v>
      </c>
      <c r="D128" s="1">
        <v>1344720.91</v>
      </c>
      <c r="E128" s="2" t="s">
        <v>13</v>
      </c>
      <c r="F128" s="1">
        <v>1336593.81</v>
      </c>
      <c r="G128" s="1">
        <v>99.4</v>
      </c>
      <c r="H128" s="2" t="s">
        <v>434</v>
      </c>
      <c r="I128" s="2">
        <v>79.0</v>
      </c>
      <c r="J128" s="1" t="str">
        <f t="shared" si="1"/>
        <v>1M–5M</v>
      </c>
    </row>
    <row r="129">
      <c r="A129" s="2" t="s">
        <v>435</v>
      </c>
      <c r="B129" s="2" t="s">
        <v>436</v>
      </c>
      <c r="C129" s="2" t="s">
        <v>437</v>
      </c>
      <c r="D129" s="1">
        <v>1338450.27</v>
      </c>
      <c r="E129" s="2" t="s">
        <v>235</v>
      </c>
      <c r="F129" s="1">
        <v>1338450.27</v>
      </c>
      <c r="G129" s="1">
        <v>100.0</v>
      </c>
      <c r="H129" s="2" t="s">
        <v>73</v>
      </c>
      <c r="I129" s="2">
        <v>16.0</v>
      </c>
      <c r="J129" s="1" t="str">
        <f t="shared" si="1"/>
        <v>1M–5M</v>
      </c>
    </row>
    <row r="130">
      <c r="A130" s="2" t="s">
        <v>438</v>
      </c>
      <c r="B130" s="2" t="s">
        <v>439</v>
      </c>
      <c r="C130" s="2" t="s">
        <v>440</v>
      </c>
      <c r="D130" s="1">
        <v>1335846.86</v>
      </c>
      <c r="E130" s="2" t="s">
        <v>235</v>
      </c>
      <c r="F130" s="1">
        <v>1335846.86</v>
      </c>
      <c r="G130" s="1">
        <v>100.0</v>
      </c>
      <c r="H130" s="2" t="s">
        <v>73</v>
      </c>
      <c r="I130" s="2">
        <v>10.0</v>
      </c>
      <c r="J130" s="1" t="str">
        <f t="shared" si="1"/>
        <v>1M–5M</v>
      </c>
    </row>
    <row r="131">
      <c r="A131" s="2" t="s">
        <v>441</v>
      </c>
      <c r="B131" s="2" t="s">
        <v>442</v>
      </c>
      <c r="C131" s="2" t="s">
        <v>443</v>
      </c>
      <c r="D131" s="1">
        <v>1331781.42</v>
      </c>
      <c r="E131" s="2" t="s">
        <v>95</v>
      </c>
      <c r="F131" s="1">
        <v>1204856.42</v>
      </c>
      <c r="G131" s="1">
        <v>90.47</v>
      </c>
      <c r="H131" s="2" t="s">
        <v>136</v>
      </c>
      <c r="I131" s="2">
        <v>72.0</v>
      </c>
      <c r="J131" s="1" t="str">
        <f t="shared" si="1"/>
        <v>1M–5M</v>
      </c>
    </row>
    <row r="132">
      <c r="A132" s="2" t="s">
        <v>444</v>
      </c>
      <c r="B132" s="2" t="s">
        <v>445</v>
      </c>
      <c r="C132" s="2" t="s">
        <v>446</v>
      </c>
      <c r="D132" s="1">
        <v>1323932.18</v>
      </c>
      <c r="E132" s="2" t="s">
        <v>447</v>
      </c>
      <c r="F132" s="1">
        <v>429400.0</v>
      </c>
      <c r="G132" s="1">
        <v>32.43</v>
      </c>
      <c r="H132" s="2" t="s">
        <v>96</v>
      </c>
      <c r="I132" s="2">
        <v>160.0</v>
      </c>
      <c r="J132" s="1" t="str">
        <f t="shared" si="1"/>
        <v>100k–500k</v>
      </c>
    </row>
    <row r="133">
      <c r="A133" s="2" t="s">
        <v>448</v>
      </c>
      <c r="B133" s="2" t="s">
        <v>449</v>
      </c>
      <c r="C133" s="2" t="s">
        <v>450</v>
      </c>
      <c r="D133" s="1">
        <v>1322487.41</v>
      </c>
      <c r="E133" s="2" t="s">
        <v>387</v>
      </c>
      <c r="F133" s="1">
        <v>1322487.41</v>
      </c>
      <c r="G133" s="1">
        <v>100.0</v>
      </c>
      <c r="H133" s="2" t="s">
        <v>73</v>
      </c>
      <c r="I133" s="2">
        <v>33.0</v>
      </c>
      <c r="J133" s="1" t="str">
        <f t="shared" si="1"/>
        <v>1M–5M</v>
      </c>
    </row>
    <row r="134">
      <c r="A134" s="2" t="s">
        <v>451</v>
      </c>
      <c r="B134" s="2" t="s">
        <v>452</v>
      </c>
      <c r="C134" s="2" t="s">
        <v>453</v>
      </c>
      <c r="D134" s="1">
        <v>1312032.06</v>
      </c>
      <c r="E134" s="2" t="s">
        <v>156</v>
      </c>
      <c r="F134" s="1">
        <v>1228382.06</v>
      </c>
      <c r="G134" s="1">
        <v>93.62</v>
      </c>
      <c r="H134" s="2" t="s">
        <v>136</v>
      </c>
      <c r="I134" s="2">
        <v>175.0</v>
      </c>
      <c r="J134" s="1" t="str">
        <f t="shared" si="1"/>
        <v>1M–5M</v>
      </c>
    </row>
    <row r="135">
      <c r="A135" s="2" t="s">
        <v>454</v>
      </c>
      <c r="B135" s="2" t="s">
        <v>455</v>
      </c>
      <c r="C135" s="2" t="s">
        <v>456</v>
      </c>
      <c r="D135" s="1">
        <v>1309787.36</v>
      </c>
      <c r="E135" s="2" t="s">
        <v>13</v>
      </c>
      <c r="F135" s="1">
        <v>1309787.36</v>
      </c>
      <c r="G135" s="1">
        <v>100.0</v>
      </c>
      <c r="H135" s="2" t="s">
        <v>73</v>
      </c>
      <c r="I135" s="2">
        <v>63.0</v>
      </c>
      <c r="J135" s="1" t="str">
        <f t="shared" si="1"/>
        <v>1M–5M</v>
      </c>
    </row>
    <row r="136">
      <c r="A136" s="2" t="s">
        <v>457</v>
      </c>
      <c r="B136" s="2" t="s">
        <v>458</v>
      </c>
      <c r="C136" s="2" t="s">
        <v>459</v>
      </c>
      <c r="D136" s="1">
        <v>1306796.02</v>
      </c>
      <c r="E136" s="2" t="s">
        <v>156</v>
      </c>
      <c r="F136" s="1">
        <v>1179846.02</v>
      </c>
      <c r="G136" s="1">
        <v>90.29</v>
      </c>
      <c r="H136" s="2" t="s">
        <v>96</v>
      </c>
      <c r="I136" s="2">
        <v>185.0</v>
      </c>
      <c r="J136" s="1" t="str">
        <f t="shared" si="1"/>
        <v>1M–5M</v>
      </c>
    </row>
    <row r="137">
      <c r="A137" s="2" t="s">
        <v>460</v>
      </c>
      <c r="B137" s="2" t="s">
        <v>461</v>
      </c>
      <c r="C137" s="2" t="s">
        <v>462</v>
      </c>
      <c r="D137" s="1">
        <v>1306566.81</v>
      </c>
      <c r="E137" s="2" t="s">
        <v>235</v>
      </c>
      <c r="F137" s="1">
        <v>1306566.81</v>
      </c>
      <c r="G137" s="1">
        <v>100.0</v>
      </c>
      <c r="H137" s="2" t="s">
        <v>73</v>
      </c>
      <c r="I137" s="2">
        <v>24.0</v>
      </c>
      <c r="J137" s="1" t="str">
        <f t="shared" si="1"/>
        <v>1M–5M</v>
      </c>
    </row>
    <row r="138">
      <c r="A138" s="2" t="s">
        <v>463</v>
      </c>
      <c r="B138" s="2" t="s">
        <v>464</v>
      </c>
      <c r="C138" s="2" t="s">
        <v>465</v>
      </c>
      <c r="D138" s="1">
        <v>1290852.02</v>
      </c>
      <c r="E138" s="2" t="s">
        <v>235</v>
      </c>
      <c r="F138" s="1">
        <v>1290852.02</v>
      </c>
      <c r="G138" s="1">
        <v>100.0</v>
      </c>
      <c r="H138" s="2" t="s">
        <v>73</v>
      </c>
      <c r="I138" s="2">
        <v>8.0</v>
      </c>
      <c r="J138" s="1" t="str">
        <f t="shared" si="1"/>
        <v>1M–5M</v>
      </c>
    </row>
    <row r="139">
      <c r="A139" s="2" t="s">
        <v>466</v>
      </c>
      <c r="B139" s="2" t="s">
        <v>467</v>
      </c>
      <c r="C139" s="2" t="s">
        <v>468</v>
      </c>
      <c r="D139" s="1">
        <v>1287390.79</v>
      </c>
      <c r="E139" s="2" t="s">
        <v>156</v>
      </c>
      <c r="F139" s="1">
        <v>1175586.54</v>
      </c>
      <c r="G139" s="1">
        <v>91.32</v>
      </c>
      <c r="H139" s="2" t="s">
        <v>469</v>
      </c>
      <c r="I139" s="2">
        <v>202.0</v>
      </c>
      <c r="J139" s="1" t="str">
        <f t="shared" si="1"/>
        <v>1M–5M</v>
      </c>
    </row>
    <row r="140">
      <c r="A140" s="2" t="s">
        <v>470</v>
      </c>
      <c r="B140" s="2" t="s">
        <v>471</v>
      </c>
      <c r="C140" s="2" t="s">
        <v>472</v>
      </c>
      <c r="D140" s="1">
        <v>1287091.81</v>
      </c>
      <c r="E140" s="2" t="s">
        <v>13</v>
      </c>
      <c r="F140" s="1">
        <v>1287091.81</v>
      </c>
      <c r="G140" s="1">
        <v>100.0</v>
      </c>
      <c r="H140" s="2" t="s">
        <v>73</v>
      </c>
      <c r="I140" s="2">
        <v>76.0</v>
      </c>
      <c r="J140" s="1" t="str">
        <f t="shared" si="1"/>
        <v>1M–5M</v>
      </c>
    </row>
    <row r="141">
      <c r="A141" s="2" t="s">
        <v>473</v>
      </c>
      <c r="B141" s="2" t="s">
        <v>474</v>
      </c>
      <c r="C141" s="2" t="s">
        <v>475</v>
      </c>
      <c r="D141" s="1">
        <v>1284995.89</v>
      </c>
      <c r="E141" s="2" t="s">
        <v>95</v>
      </c>
      <c r="F141" s="1">
        <v>1284995.89</v>
      </c>
      <c r="G141" s="1">
        <v>100.0</v>
      </c>
      <c r="H141" s="2" t="s">
        <v>476</v>
      </c>
      <c r="I141" s="2">
        <v>209.0</v>
      </c>
      <c r="J141" s="1" t="str">
        <f t="shared" si="1"/>
        <v>1M–5M</v>
      </c>
    </row>
    <row r="142">
      <c r="A142" s="2" t="s">
        <v>477</v>
      </c>
      <c r="B142" s="2" t="s">
        <v>478</v>
      </c>
      <c r="C142" s="2" t="s">
        <v>479</v>
      </c>
      <c r="D142" s="1">
        <v>1283581.39</v>
      </c>
      <c r="E142" s="2" t="s">
        <v>13</v>
      </c>
      <c r="F142" s="1">
        <v>1283581.39</v>
      </c>
      <c r="G142" s="1">
        <v>100.0</v>
      </c>
      <c r="H142" s="2" t="s">
        <v>480</v>
      </c>
      <c r="I142" s="2">
        <v>98.0</v>
      </c>
      <c r="J142" s="1" t="str">
        <f t="shared" si="1"/>
        <v>1M–5M</v>
      </c>
    </row>
    <row r="143">
      <c r="A143" s="2" t="s">
        <v>481</v>
      </c>
      <c r="B143" s="2" t="s">
        <v>482</v>
      </c>
      <c r="C143" s="2" t="s">
        <v>483</v>
      </c>
      <c r="D143" s="1">
        <v>1283122.84</v>
      </c>
      <c r="E143" s="2" t="s">
        <v>13</v>
      </c>
      <c r="F143" s="1">
        <v>1271085.0</v>
      </c>
      <c r="G143" s="1">
        <v>99.06</v>
      </c>
      <c r="H143" s="2" t="s">
        <v>73</v>
      </c>
      <c r="I143" s="2">
        <v>46.0</v>
      </c>
      <c r="J143" s="1" t="str">
        <f t="shared" si="1"/>
        <v>1M–5M</v>
      </c>
    </row>
    <row r="144">
      <c r="A144" s="2" t="s">
        <v>484</v>
      </c>
      <c r="B144" s="2" t="s">
        <v>485</v>
      </c>
      <c r="C144" s="2" t="s">
        <v>486</v>
      </c>
      <c r="D144" s="1">
        <v>1269970.74</v>
      </c>
      <c r="E144" s="2" t="s">
        <v>95</v>
      </c>
      <c r="F144" s="1">
        <v>1269970.74</v>
      </c>
      <c r="G144" s="1">
        <v>100.0</v>
      </c>
      <c r="H144" s="2" t="s">
        <v>487</v>
      </c>
      <c r="I144" s="2">
        <v>200.0</v>
      </c>
      <c r="J144" s="1" t="str">
        <f t="shared" si="1"/>
        <v>1M–5M</v>
      </c>
    </row>
    <row r="145">
      <c r="A145" s="2" t="s">
        <v>488</v>
      </c>
      <c r="B145" s="2" t="s">
        <v>489</v>
      </c>
      <c r="C145" s="2" t="s">
        <v>490</v>
      </c>
      <c r="D145" s="1">
        <v>1263496.06</v>
      </c>
      <c r="E145" s="2" t="s">
        <v>387</v>
      </c>
      <c r="F145" s="1">
        <v>1260162.73</v>
      </c>
      <c r="G145" s="1">
        <v>99.74</v>
      </c>
      <c r="H145" s="2" t="s">
        <v>491</v>
      </c>
      <c r="I145" s="2">
        <v>32.0</v>
      </c>
      <c r="J145" s="1" t="str">
        <f t="shared" si="1"/>
        <v>1M–5M</v>
      </c>
    </row>
    <row r="146">
      <c r="A146" s="2" t="s">
        <v>492</v>
      </c>
      <c r="B146" s="2" t="s">
        <v>493</v>
      </c>
      <c r="C146" s="2" t="s">
        <v>494</v>
      </c>
      <c r="D146" s="1">
        <v>1257132.41</v>
      </c>
      <c r="E146" s="2" t="s">
        <v>156</v>
      </c>
      <c r="F146" s="1">
        <v>828832.41</v>
      </c>
      <c r="G146" s="1">
        <v>65.93</v>
      </c>
      <c r="H146" s="2" t="s">
        <v>495</v>
      </c>
      <c r="I146" s="2">
        <v>149.0</v>
      </c>
      <c r="J146" s="1" t="str">
        <f t="shared" si="1"/>
        <v>500k–1M</v>
      </c>
    </row>
    <row r="147">
      <c r="A147" s="2" t="s">
        <v>496</v>
      </c>
      <c r="B147" s="2" t="s">
        <v>497</v>
      </c>
      <c r="C147" s="2" t="s">
        <v>498</v>
      </c>
      <c r="D147" s="1">
        <v>1255625.59</v>
      </c>
      <c r="E147" s="2" t="s">
        <v>156</v>
      </c>
      <c r="F147" s="1">
        <v>628100.59</v>
      </c>
      <c r="G147" s="1">
        <v>50.02</v>
      </c>
      <c r="H147" s="2" t="s">
        <v>22</v>
      </c>
      <c r="I147" s="2">
        <v>96.0</v>
      </c>
      <c r="J147" s="1" t="str">
        <f t="shared" si="1"/>
        <v>500k–1M</v>
      </c>
    </row>
    <row r="148">
      <c r="A148" s="2" t="s">
        <v>499</v>
      </c>
      <c r="B148" s="2" t="s">
        <v>500</v>
      </c>
      <c r="C148" s="2" t="s">
        <v>501</v>
      </c>
      <c r="D148" s="1">
        <v>1250106.81</v>
      </c>
      <c r="E148" s="2" t="s">
        <v>13</v>
      </c>
      <c r="F148" s="1">
        <v>1250106.81</v>
      </c>
      <c r="G148" s="1">
        <v>100.0</v>
      </c>
      <c r="H148" s="2" t="s">
        <v>502</v>
      </c>
      <c r="I148" s="2">
        <v>50.0</v>
      </c>
      <c r="J148" s="1" t="str">
        <f t="shared" si="1"/>
        <v>1M–5M</v>
      </c>
    </row>
    <row r="149">
      <c r="A149" s="2" t="s">
        <v>503</v>
      </c>
      <c r="B149" s="2" t="s">
        <v>504</v>
      </c>
      <c r="C149" s="2" t="s">
        <v>505</v>
      </c>
      <c r="D149" s="1">
        <v>1245564.71</v>
      </c>
      <c r="E149" s="2" t="s">
        <v>13</v>
      </c>
      <c r="F149" s="1">
        <v>1245564.71</v>
      </c>
      <c r="G149" s="1">
        <v>100.0</v>
      </c>
      <c r="H149" s="2" t="s">
        <v>51</v>
      </c>
      <c r="I149" s="2">
        <v>49.0</v>
      </c>
      <c r="J149" s="1" t="str">
        <f t="shared" si="1"/>
        <v>1M–5M</v>
      </c>
    </row>
    <row r="150">
      <c r="A150" s="2" t="s">
        <v>506</v>
      </c>
      <c r="B150" s="2" t="s">
        <v>507</v>
      </c>
      <c r="C150" s="2" t="s">
        <v>508</v>
      </c>
      <c r="D150" s="1">
        <v>1245451.79</v>
      </c>
      <c r="E150" s="2" t="s">
        <v>509</v>
      </c>
      <c r="F150" s="1">
        <v>1245451.79</v>
      </c>
      <c r="G150" s="1">
        <v>100.0</v>
      </c>
      <c r="H150" s="2" t="s">
        <v>258</v>
      </c>
      <c r="I150" s="2">
        <v>47.0</v>
      </c>
      <c r="J150" s="1" t="str">
        <f t="shared" si="1"/>
        <v>1M–5M</v>
      </c>
    </row>
    <row r="151">
      <c r="A151" s="2" t="s">
        <v>510</v>
      </c>
      <c r="B151" s="2" t="s">
        <v>511</v>
      </c>
      <c r="C151" s="2" t="s">
        <v>512</v>
      </c>
      <c r="D151" s="1">
        <v>1244334.74</v>
      </c>
      <c r="E151" s="2" t="s">
        <v>95</v>
      </c>
      <c r="F151" s="1">
        <v>1244334.74</v>
      </c>
      <c r="G151" s="1">
        <v>100.0</v>
      </c>
      <c r="H151" s="2" t="s">
        <v>513</v>
      </c>
      <c r="I151" s="2">
        <v>60.0</v>
      </c>
      <c r="J151" s="1" t="str">
        <f t="shared" si="1"/>
        <v>1M–5M</v>
      </c>
    </row>
    <row r="152">
      <c r="A152" s="2" t="s">
        <v>514</v>
      </c>
      <c r="B152" s="2" t="s">
        <v>515</v>
      </c>
      <c r="C152" s="2" t="s">
        <v>516</v>
      </c>
      <c r="D152" s="1">
        <v>1242751.39</v>
      </c>
      <c r="E152" s="2" t="s">
        <v>13</v>
      </c>
      <c r="F152" s="1">
        <v>1242751.39</v>
      </c>
      <c r="G152" s="1">
        <v>100.0</v>
      </c>
      <c r="H152" s="2" t="s">
        <v>73</v>
      </c>
      <c r="I152" s="2">
        <v>78.0</v>
      </c>
      <c r="J152" s="1" t="str">
        <f t="shared" si="1"/>
        <v>1M–5M</v>
      </c>
    </row>
    <row r="153">
      <c r="A153" s="2" t="s">
        <v>517</v>
      </c>
      <c r="B153" s="2" t="s">
        <v>518</v>
      </c>
      <c r="C153" s="2" t="s">
        <v>519</v>
      </c>
      <c r="D153" s="1">
        <v>1238228.33</v>
      </c>
      <c r="E153" s="2" t="s">
        <v>520</v>
      </c>
      <c r="F153" s="1">
        <v>410583.33</v>
      </c>
      <c r="G153" s="1">
        <v>33.16</v>
      </c>
      <c r="H153" s="2" t="s">
        <v>96</v>
      </c>
      <c r="I153" s="2">
        <v>63.0</v>
      </c>
      <c r="J153" s="1" t="str">
        <f t="shared" si="1"/>
        <v>100k–500k</v>
      </c>
    </row>
    <row r="154">
      <c r="A154" s="2" t="s">
        <v>521</v>
      </c>
      <c r="B154" s="2" t="s">
        <v>522</v>
      </c>
      <c r="C154" s="2" t="s">
        <v>523</v>
      </c>
      <c r="D154" s="1">
        <v>1233646.68</v>
      </c>
      <c r="E154" s="2" t="s">
        <v>363</v>
      </c>
      <c r="F154" s="1">
        <v>365500.0</v>
      </c>
      <c r="G154" s="1">
        <v>29.63</v>
      </c>
      <c r="H154" s="2" t="s">
        <v>96</v>
      </c>
      <c r="I154" s="2">
        <v>144.0</v>
      </c>
      <c r="J154" s="1" t="str">
        <f t="shared" si="1"/>
        <v>100k–500k</v>
      </c>
    </row>
    <row r="155">
      <c r="A155" s="2" t="s">
        <v>524</v>
      </c>
      <c r="B155" s="2" t="s">
        <v>525</v>
      </c>
      <c r="C155" s="2" t="s">
        <v>526</v>
      </c>
      <c r="D155" s="1">
        <v>1230225.0</v>
      </c>
      <c r="E155" s="2" t="s">
        <v>95</v>
      </c>
      <c r="F155" s="1">
        <v>1230075.0</v>
      </c>
      <c r="G155" s="1">
        <v>99.99</v>
      </c>
      <c r="H155" s="2" t="s">
        <v>527</v>
      </c>
      <c r="I155" s="2">
        <v>81.0</v>
      </c>
      <c r="J155" s="1" t="str">
        <f t="shared" si="1"/>
        <v>1M–5M</v>
      </c>
    </row>
    <row r="156">
      <c r="A156" s="2" t="s">
        <v>528</v>
      </c>
      <c r="B156" s="2" t="s">
        <v>529</v>
      </c>
      <c r="C156" s="2" t="s">
        <v>530</v>
      </c>
      <c r="D156" s="1">
        <v>1228551.54</v>
      </c>
      <c r="E156" s="2" t="s">
        <v>531</v>
      </c>
      <c r="F156" s="1">
        <v>1228551.54</v>
      </c>
      <c r="G156" s="1">
        <v>100.0</v>
      </c>
      <c r="H156" s="2" t="s">
        <v>380</v>
      </c>
      <c r="I156" s="2">
        <v>1.0</v>
      </c>
      <c r="J156" s="1" t="str">
        <f t="shared" si="1"/>
        <v>1M–5M</v>
      </c>
    </row>
    <row r="157">
      <c r="A157" s="2" t="s">
        <v>532</v>
      </c>
      <c r="B157" s="2" t="s">
        <v>533</v>
      </c>
      <c r="C157" s="2" t="s">
        <v>534</v>
      </c>
      <c r="D157" s="1">
        <v>1226897.63</v>
      </c>
      <c r="E157" s="2" t="s">
        <v>13</v>
      </c>
      <c r="F157" s="1">
        <v>1220842.58</v>
      </c>
      <c r="G157" s="1">
        <v>99.51</v>
      </c>
      <c r="H157" s="2" t="s">
        <v>73</v>
      </c>
      <c r="I157" s="2">
        <v>92.0</v>
      </c>
      <c r="J157" s="1" t="str">
        <f t="shared" si="1"/>
        <v>1M–5M</v>
      </c>
    </row>
    <row r="158">
      <c r="A158" s="2" t="s">
        <v>535</v>
      </c>
      <c r="B158" s="2" t="s">
        <v>536</v>
      </c>
      <c r="C158" s="2" t="s">
        <v>537</v>
      </c>
      <c r="D158" s="1">
        <v>1226803.4</v>
      </c>
      <c r="E158" s="2" t="s">
        <v>13</v>
      </c>
      <c r="F158" s="1">
        <v>1226803.4</v>
      </c>
      <c r="G158" s="1">
        <v>100.0</v>
      </c>
      <c r="H158" s="2" t="s">
        <v>22</v>
      </c>
      <c r="I158" s="2">
        <v>65.0</v>
      </c>
      <c r="J158" s="1" t="str">
        <f t="shared" si="1"/>
        <v>1M–5M</v>
      </c>
    </row>
    <row r="159">
      <c r="A159" s="2" t="s">
        <v>538</v>
      </c>
      <c r="B159" s="2" t="s">
        <v>539</v>
      </c>
      <c r="C159" s="2" t="s">
        <v>540</v>
      </c>
      <c r="D159" s="1">
        <v>1224447.37</v>
      </c>
      <c r="E159" s="2" t="s">
        <v>95</v>
      </c>
      <c r="F159" s="1">
        <v>1224447.37</v>
      </c>
      <c r="G159" s="1">
        <v>100.0</v>
      </c>
      <c r="H159" s="2" t="s">
        <v>91</v>
      </c>
      <c r="I159" s="2">
        <v>151.0</v>
      </c>
      <c r="J159" s="1" t="str">
        <f t="shared" si="1"/>
        <v>1M–5M</v>
      </c>
    </row>
    <row r="160">
      <c r="A160" s="2" t="s">
        <v>541</v>
      </c>
      <c r="B160" s="2" t="s">
        <v>542</v>
      </c>
      <c r="C160" s="2" t="s">
        <v>543</v>
      </c>
      <c r="D160" s="1">
        <v>1221917.1</v>
      </c>
      <c r="E160" s="2" t="s">
        <v>13</v>
      </c>
      <c r="F160" s="1">
        <v>1221917.1</v>
      </c>
      <c r="G160" s="1">
        <v>100.0</v>
      </c>
      <c r="H160" s="2" t="s">
        <v>73</v>
      </c>
      <c r="I160" s="2">
        <v>56.0</v>
      </c>
      <c r="J160" s="1" t="str">
        <f t="shared" si="1"/>
        <v>1M–5M</v>
      </c>
    </row>
    <row r="161">
      <c r="A161" s="2" t="s">
        <v>544</v>
      </c>
      <c r="B161" s="2" t="s">
        <v>545</v>
      </c>
      <c r="C161" s="2" t="s">
        <v>546</v>
      </c>
      <c r="D161" s="1">
        <v>1215593.33</v>
      </c>
      <c r="E161" s="2" t="s">
        <v>95</v>
      </c>
      <c r="F161" s="1">
        <v>1215593.33</v>
      </c>
      <c r="G161" s="1">
        <v>100.0</v>
      </c>
      <c r="H161" s="2" t="s">
        <v>420</v>
      </c>
      <c r="I161" s="2">
        <v>24.0</v>
      </c>
      <c r="J161" s="1" t="str">
        <f t="shared" si="1"/>
        <v>1M–5M</v>
      </c>
    </row>
    <row r="162">
      <c r="A162" s="2" t="s">
        <v>547</v>
      </c>
      <c r="B162" s="2" t="s">
        <v>548</v>
      </c>
      <c r="C162" s="2" t="s">
        <v>549</v>
      </c>
      <c r="D162" s="1">
        <v>1210207.02</v>
      </c>
      <c r="E162" s="2" t="s">
        <v>95</v>
      </c>
      <c r="F162" s="1">
        <v>1210207.02</v>
      </c>
      <c r="G162" s="1">
        <v>100.0</v>
      </c>
      <c r="H162" s="2" t="s">
        <v>96</v>
      </c>
      <c r="I162" s="2">
        <v>82.0</v>
      </c>
      <c r="J162" s="1" t="str">
        <f t="shared" si="1"/>
        <v>1M–5M</v>
      </c>
    </row>
    <row r="163">
      <c r="A163" s="2" t="s">
        <v>550</v>
      </c>
      <c r="B163" s="2" t="s">
        <v>551</v>
      </c>
      <c r="C163" s="2" t="s">
        <v>552</v>
      </c>
      <c r="D163" s="1">
        <v>1209565.47</v>
      </c>
      <c r="E163" s="2" t="s">
        <v>95</v>
      </c>
      <c r="F163" s="1">
        <v>1209565.47</v>
      </c>
      <c r="G163" s="1">
        <v>100.0</v>
      </c>
      <c r="H163" s="2" t="s">
        <v>96</v>
      </c>
      <c r="I163" s="2">
        <v>81.0</v>
      </c>
      <c r="J163" s="1" t="str">
        <f t="shared" si="1"/>
        <v>1M–5M</v>
      </c>
    </row>
    <row r="164">
      <c r="A164" s="2" t="s">
        <v>553</v>
      </c>
      <c r="B164" s="2" t="s">
        <v>554</v>
      </c>
      <c r="C164" s="2" t="s">
        <v>555</v>
      </c>
      <c r="D164" s="1">
        <v>1208508.91</v>
      </c>
      <c r="E164" s="2" t="s">
        <v>156</v>
      </c>
      <c r="F164" s="1">
        <v>1186573.2</v>
      </c>
      <c r="G164" s="1">
        <v>98.18</v>
      </c>
      <c r="H164" s="2" t="s">
        <v>96</v>
      </c>
      <c r="I164" s="2">
        <v>190.0</v>
      </c>
      <c r="J164" s="1" t="str">
        <f t="shared" si="1"/>
        <v>1M–5M</v>
      </c>
    </row>
    <row r="165">
      <c r="A165" s="2" t="s">
        <v>556</v>
      </c>
      <c r="B165" s="2" t="s">
        <v>557</v>
      </c>
      <c r="C165" s="2" t="s">
        <v>558</v>
      </c>
      <c r="D165" s="1">
        <v>1207851.58</v>
      </c>
      <c r="E165" s="2" t="s">
        <v>13</v>
      </c>
      <c r="F165" s="1">
        <v>1199016.08</v>
      </c>
      <c r="G165" s="1">
        <v>99.27</v>
      </c>
      <c r="H165" s="2" t="s">
        <v>73</v>
      </c>
      <c r="I165" s="2">
        <v>47.0</v>
      </c>
      <c r="J165" s="1" t="str">
        <f t="shared" si="1"/>
        <v>1M–5M</v>
      </c>
    </row>
    <row r="166">
      <c r="A166" s="2" t="s">
        <v>559</v>
      </c>
      <c r="B166" s="2" t="s">
        <v>560</v>
      </c>
      <c r="C166" s="2" t="s">
        <v>561</v>
      </c>
      <c r="D166" s="1">
        <v>1198073.78</v>
      </c>
      <c r="E166" s="2" t="s">
        <v>156</v>
      </c>
      <c r="F166" s="1">
        <v>1155970.78</v>
      </c>
      <c r="G166" s="1">
        <v>96.49</v>
      </c>
      <c r="H166" s="2" t="s">
        <v>22</v>
      </c>
      <c r="I166" s="2">
        <v>80.0</v>
      </c>
      <c r="J166" s="1" t="str">
        <f t="shared" si="1"/>
        <v>1M–5M</v>
      </c>
    </row>
    <row r="167">
      <c r="A167" s="2" t="s">
        <v>562</v>
      </c>
      <c r="B167" s="2" t="s">
        <v>563</v>
      </c>
      <c r="C167" s="2" t="s">
        <v>564</v>
      </c>
      <c r="D167" s="1">
        <v>1194415.22</v>
      </c>
      <c r="E167" s="2" t="s">
        <v>272</v>
      </c>
      <c r="F167" s="1">
        <v>1190791.27</v>
      </c>
      <c r="G167" s="1">
        <v>99.7</v>
      </c>
      <c r="H167" s="2" t="s">
        <v>258</v>
      </c>
      <c r="I167" s="2">
        <v>439.0</v>
      </c>
      <c r="J167" s="1" t="str">
        <f t="shared" si="1"/>
        <v>1M–5M</v>
      </c>
    </row>
    <row r="168">
      <c r="A168" s="2" t="s">
        <v>565</v>
      </c>
      <c r="B168" s="2" t="s">
        <v>566</v>
      </c>
      <c r="C168" s="2" t="s">
        <v>567</v>
      </c>
      <c r="D168" s="1">
        <v>1193755.35</v>
      </c>
      <c r="E168" s="2" t="s">
        <v>568</v>
      </c>
      <c r="F168" s="1">
        <v>261250.0</v>
      </c>
      <c r="G168" s="1">
        <v>21.88</v>
      </c>
      <c r="H168" s="2" t="s">
        <v>96</v>
      </c>
      <c r="I168" s="2">
        <v>172.0</v>
      </c>
      <c r="J168" s="1" t="str">
        <f t="shared" si="1"/>
        <v>100k–500k</v>
      </c>
    </row>
    <row r="169">
      <c r="A169" s="2" t="s">
        <v>569</v>
      </c>
      <c r="B169" s="2" t="s">
        <v>570</v>
      </c>
      <c r="C169" s="2" t="s">
        <v>571</v>
      </c>
      <c r="D169" s="1">
        <v>1193104.1</v>
      </c>
      <c r="E169" s="2" t="s">
        <v>13</v>
      </c>
      <c r="F169" s="1">
        <v>1193104.1</v>
      </c>
      <c r="G169" s="1">
        <v>100.0</v>
      </c>
      <c r="H169" s="2" t="s">
        <v>182</v>
      </c>
      <c r="I169" s="2">
        <v>71.0</v>
      </c>
      <c r="J169" s="1" t="str">
        <f t="shared" si="1"/>
        <v>1M–5M</v>
      </c>
    </row>
    <row r="170">
      <c r="A170" s="2" t="s">
        <v>572</v>
      </c>
      <c r="B170" s="2" t="s">
        <v>573</v>
      </c>
      <c r="C170" s="2" t="s">
        <v>574</v>
      </c>
      <c r="D170" s="1">
        <v>1192164.18</v>
      </c>
      <c r="E170" s="2" t="s">
        <v>13</v>
      </c>
      <c r="F170" s="1">
        <v>1186085.71</v>
      </c>
      <c r="G170" s="1">
        <v>99.49</v>
      </c>
      <c r="H170" s="2" t="s">
        <v>73</v>
      </c>
      <c r="I170" s="2">
        <v>66.0</v>
      </c>
      <c r="J170" s="1" t="str">
        <f t="shared" si="1"/>
        <v>1M–5M</v>
      </c>
    </row>
    <row r="171">
      <c r="A171" s="2" t="s">
        <v>575</v>
      </c>
      <c r="B171" s="2" t="s">
        <v>576</v>
      </c>
      <c r="C171" s="2" t="s">
        <v>577</v>
      </c>
      <c r="D171" s="1">
        <v>1189245.12</v>
      </c>
      <c r="E171" s="2" t="s">
        <v>387</v>
      </c>
      <c r="F171" s="1">
        <v>1189245.12</v>
      </c>
      <c r="G171" s="1">
        <v>100.0</v>
      </c>
      <c r="H171" s="2" t="s">
        <v>491</v>
      </c>
      <c r="I171" s="2">
        <v>22.0</v>
      </c>
      <c r="J171" s="1" t="str">
        <f t="shared" si="1"/>
        <v>1M–5M</v>
      </c>
    </row>
    <row r="172">
      <c r="A172" s="2" t="s">
        <v>578</v>
      </c>
      <c r="B172" s="2" t="s">
        <v>579</v>
      </c>
      <c r="C172" s="2" t="s">
        <v>580</v>
      </c>
      <c r="D172" s="1">
        <v>1167041.35</v>
      </c>
      <c r="E172" s="2" t="s">
        <v>156</v>
      </c>
      <c r="F172" s="1">
        <v>1098738.54</v>
      </c>
      <c r="G172" s="1">
        <v>94.15</v>
      </c>
      <c r="H172" s="2" t="s">
        <v>22</v>
      </c>
      <c r="I172" s="2">
        <v>99.0</v>
      </c>
      <c r="J172" s="1" t="str">
        <f t="shared" si="1"/>
        <v>1M–5M</v>
      </c>
    </row>
    <row r="173">
      <c r="A173" s="2" t="s">
        <v>581</v>
      </c>
      <c r="B173" s="2" t="s">
        <v>582</v>
      </c>
      <c r="C173" s="2" t="s">
        <v>583</v>
      </c>
      <c r="D173" s="1">
        <v>1157729.16</v>
      </c>
      <c r="E173" s="2" t="s">
        <v>520</v>
      </c>
      <c r="F173" s="1">
        <v>400000.0</v>
      </c>
      <c r="G173" s="1">
        <v>34.55</v>
      </c>
      <c r="H173" s="2" t="s">
        <v>96</v>
      </c>
      <c r="I173" s="2">
        <v>74.0</v>
      </c>
      <c r="J173" s="1" t="str">
        <f t="shared" si="1"/>
        <v>100k–500k</v>
      </c>
    </row>
    <row r="174">
      <c r="A174" s="2" t="s">
        <v>584</v>
      </c>
      <c r="B174" s="2" t="s">
        <v>585</v>
      </c>
      <c r="C174" s="2" t="s">
        <v>586</v>
      </c>
      <c r="D174" s="1">
        <v>1156864.0</v>
      </c>
      <c r="E174" s="2" t="s">
        <v>13</v>
      </c>
      <c r="F174" s="1">
        <v>1156864.0</v>
      </c>
      <c r="G174" s="1">
        <v>100.0</v>
      </c>
      <c r="H174" s="2" t="s">
        <v>22</v>
      </c>
      <c r="I174" s="2">
        <v>51.0</v>
      </c>
      <c r="J174" s="1" t="str">
        <f t="shared" si="1"/>
        <v>1M–5M</v>
      </c>
    </row>
    <row r="175">
      <c r="A175" s="2" t="s">
        <v>587</v>
      </c>
      <c r="B175" s="2" t="s">
        <v>588</v>
      </c>
      <c r="C175" s="2" t="s">
        <v>589</v>
      </c>
      <c r="D175" s="1">
        <v>1149352.35</v>
      </c>
      <c r="E175" s="2" t="s">
        <v>13</v>
      </c>
      <c r="F175" s="1">
        <v>1149352.35</v>
      </c>
      <c r="G175" s="1">
        <v>100.0</v>
      </c>
      <c r="H175" s="2" t="s">
        <v>73</v>
      </c>
      <c r="I175" s="2">
        <v>98.0</v>
      </c>
      <c r="J175" s="1" t="str">
        <f t="shared" si="1"/>
        <v>1M–5M</v>
      </c>
    </row>
    <row r="176">
      <c r="A176" s="2" t="s">
        <v>590</v>
      </c>
      <c r="B176" s="2" t="s">
        <v>591</v>
      </c>
      <c r="C176" s="2" t="s">
        <v>592</v>
      </c>
      <c r="D176" s="1">
        <v>1117386.23</v>
      </c>
      <c r="E176" s="2" t="s">
        <v>156</v>
      </c>
      <c r="F176" s="1">
        <v>1058468.13</v>
      </c>
      <c r="G176" s="1">
        <v>94.73</v>
      </c>
      <c r="H176" s="2" t="s">
        <v>96</v>
      </c>
      <c r="I176" s="2">
        <v>162.0</v>
      </c>
      <c r="J176" s="1" t="str">
        <f t="shared" si="1"/>
        <v>1M–5M</v>
      </c>
    </row>
    <row r="177">
      <c r="A177" s="2" t="s">
        <v>593</v>
      </c>
      <c r="B177" s="2" t="s">
        <v>594</v>
      </c>
      <c r="C177" s="2" t="s">
        <v>595</v>
      </c>
      <c r="D177" s="1">
        <v>1113035.58</v>
      </c>
      <c r="E177" s="2" t="s">
        <v>363</v>
      </c>
      <c r="F177" s="1">
        <v>345250.0</v>
      </c>
      <c r="G177" s="1">
        <v>31.02</v>
      </c>
      <c r="H177" s="2" t="s">
        <v>96</v>
      </c>
      <c r="I177" s="2">
        <v>104.0</v>
      </c>
      <c r="J177" s="1" t="str">
        <f t="shared" si="1"/>
        <v>100k–500k</v>
      </c>
    </row>
    <row r="178">
      <c r="A178" s="2" t="s">
        <v>596</v>
      </c>
      <c r="B178" s="2" t="s">
        <v>597</v>
      </c>
      <c r="C178" s="2" t="s">
        <v>598</v>
      </c>
      <c r="D178" s="1">
        <v>1111886.25</v>
      </c>
      <c r="E178" s="2" t="s">
        <v>13</v>
      </c>
      <c r="F178" s="1">
        <v>1099556.88</v>
      </c>
      <c r="G178" s="1">
        <v>98.89</v>
      </c>
      <c r="H178" s="2" t="s">
        <v>73</v>
      </c>
      <c r="I178" s="2">
        <v>68.0</v>
      </c>
      <c r="J178" s="1" t="str">
        <f t="shared" si="1"/>
        <v>1M–5M</v>
      </c>
    </row>
    <row r="179">
      <c r="A179" s="2" t="s">
        <v>599</v>
      </c>
      <c r="B179" s="2" t="s">
        <v>600</v>
      </c>
      <c r="C179" s="2" t="s">
        <v>601</v>
      </c>
      <c r="D179" s="1">
        <v>1108458.71</v>
      </c>
      <c r="E179" s="2" t="s">
        <v>602</v>
      </c>
      <c r="F179" s="1">
        <v>735419.25</v>
      </c>
      <c r="G179" s="1">
        <v>66.35</v>
      </c>
      <c r="H179" s="2" t="s">
        <v>96</v>
      </c>
      <c r="I179" s="2">
        <v>341.0</v>
      </c>
      <c r="J179" s="1" t="str">
        <f t="shared" si="1"/>
        <v>500k–1M</v>
      </c>
    </row>
    <row r="180">
      <c r="A180" s="2" t="s">
        <v>603</v>
      </c>
      <c r="B180" s="2" t="s">
        <v>604</v>
      </c>
      <c r="C180" s="2" t="s">
        <v>605</v>
      </c>
      <c r="D180" s="1">
        <v>1107890.32</v>
      </c>
      <c r="E180" s="2" t="s">
        <v>95</v>
      </c>
      <c r="F180" s="1">
        <v>1107890.32</v>
      </c>
      <c r="G180" s="1">
        <v>100.0</v>
      </c>
      <c r="H180" s="2" t="s">
        <v>22</v>
      </c>
      <c r="I180" s="2">
        <v>188.0</v>
      </c>
      <c r="J180" s="1" t="str">
        <f t="shared" si="1"/>
        <v>1M–5M</v>
      </c>
    </row>
    <row r="181">
      <c r="A181" s="2" t="s">
        <v>606</v>
      </c>
      <c r="B181" s="2" t="s">
        <v>607</v>
      </c>
      <c r="C181" s="2" t="s">
        <v>608</v>
      </c>
      <c r="D181" s="1">
        <v>1107767.21</v>
      </c>
      <c r="E181" s="2" t="s">
        <v>235</v>
      </c>
      <c r="F181" s="1">
        <v>1107767.21</v>
      </c>
      <c r="G181" s="1">
        <v>100.0</v>
      </c>
      <c r="H181" s="2" t="s">
        <v>73</v>
      </c>
      <c r="I181" s="2">
        <v>15.0</v>
      </c>
      <c r="J181" s="1" t="str">
        <f t="shared" si="1"/>
        <v>1M–5M</v>
      </c>
    </row>
    <row r="182">
      <c r="A182" s="2" t="s">
        <v>609</v>
      </c>
      <c r="B182" s="2" t="s">
        <v>610</v>
      </c>
      <c r="C182" s="2" t="s">
        <v>611</v>
      </c>
      <c r="D182" s="1">
        <v>1103701.61</v>
      </c>
      <c r="E182" s="2" t="s">
        <v>13</v>
      </c>
      <c r="F182" s="1">
        <v>1085826.18</v>
      </c>
      <c r="G182" s="1">
        <v>98.38</v>
      </c>
      <c r="H182" s="2" t="s">
        <v>136</v>
      </c>
      <c r="I182" s="2">
        <v>92.0</v>
      </c>
      <c r="J182" s="1" t="str">
        <f t="shared" si="1"/>
        <v>1M–5M</v>
      </c>
    </row>
    <row r="183">
      <c r="A183" s="2" t="s">
        <v>612</v>
      </c>
      <c r="B183" s="2" t="s">
        <v>613</v>
      </c>
      <c r="C183" s="2" t="s">
        <v>614</v>
      </c>
      <c r="D183" s="1">
        <v>1101363.8</v>
      </c>
      <c r="E183" s="2" t="s">
        <v>272</v>
      </c>
      <c r="F183" s="1">
        <v>1101219.22</v>
      </c>
      <c r="G183" s="1">
        <v>99.99</v>
      </c>
      <c r="H183" s="2" t="s">
        <v>258</v>
      </c>
      <c r="I183" s="2">
        <v>272.0</v>
      </c>
      <c r="J183" s="1" t="str">
        <f t="shared" si="1"/>
        <v>1M–5M</v>
      </c>
    </row>
    <row r="184">
      <c r="A184" s="2" t="s">
        <v>615</v>
      </c>
      <c r="B184" s="2" t="s">
        <v>616</v>
      </c>
      <c r="C184" s="2" t="s">
        <v>617</v>
      </c>
      <c r="D184" s="1">
        <v>1096233.63</v>
      </c>
      <c r="E184" s="2" t="s">
        <v>156</v>
      </c>
      <c r="F184" s="1">
        <v>1095886.48</v>
      </c>
      <c r="G184" s="1">
        <v>99.97</v>
      </c>
      <c r="H184" s="2" t="s">
        <v>469</v>
      </c>
      <c r="I184" s="2">
        <v>132.0</v>
      </c>
      <c r="J184" s="1" t="str">
        <f t="shared" si="1"/>
        <v>1M–5M</v>
      </c>
    </row>
    <row r="185">
      <c r="A185" s="2" t="s">
        <v>618</v>
      </c>
      <c r="B185" s="2" t="s">
        <v>619</v>
      </c>
      <c r="C185" s="2" t="s">
        <v>620</v>
      </c>
      <c r="D185" s="1">
        <v>1096106.71</v>
      </c>
      <c r="E185" s="2" t="s">
        <v>235</v>
      </c>
      <c r="F185" s="1">
        <v>1096106.71</v>
      </c>
      <c r="G185" s="1">
        <v>100.0</v>
      </c>
      <c r="H185" s="2" t="s">
        <v>73</v>
      </c>
      <c r="I185" s="2">
        <v>22.0</v>
      </c>
      <c r="J185" s="1" t="str">
        <f t="shared" si="1"/>
        <v>1M–5M</v>
      </c>
    </row>
    <row r="186">
      <c r="A186" s="2" t="s">
        <v>621</v>
      </c>
      <c r="B186" s="2" t="s">
        <v>622</v>
      </c>
      <c r="C186" s="2" t="s">
        <v>623</v>
      </c>
      <c r="D186" s="1">
        <v>1094804.1</v>
      </c>
      <c r="E186" s="2" t="s">
        <v>13</v>
      </c>
      <c r="F186" s="1">
        <v>1094804.1</v>
      </c>
      <c r="G186" s="1">
        <v>100.0</v>
      </c>
      <c r="H186" s="2" t="s">
        <v>624</v>
      </c>
      <c r="I186" s="2">
        <v>75.0</v>
      </c>
      <c r="J186" s="1" t="str">
        <f t="shared" si="1"/>
        <v>1M–5M</v>
      </c>
    </row>
    <row r="187">
      <c r="A187" s="2" t="s">
        <v>625</v>
      </c>
      <c r="B187" s="2" t="s">
        <v>626</v>
      </c>
      <c r="C187" s="2" t="s">
        <v>627</v>
      </c>
      <c r="D187" s="1">
        <v>1091925.12</v>
      </c>
      <c r="E187" s="2" t="s">
        <v>13</v>
      </c>
      <c r="F187" s="1">
        <v>1091925.12</v>
      </c>
      <c r="G187" s="1">
        <v>100.0</v>
      </c>
      <c r="H187" s="2" t="s">
        <v>624</v>
      </c>
      <c r="I187" s="2">
        <v>90.0</v>
      </c>
      <c r="J187" s="1" t="str">
        <f t="shared" si="1"/>
        <v>1M–5M</v>
      </c>
    </row>
    <row r="188">
      <c r="A188" s="2" t="s">
        <v>628</v>
      </c>
      <c r="B188" s="2" t="s">
        <v>629</v>
      </c>
      <c r="C188" s="2" t="s">
        <v>630</v>
      </c>
      <c r="D188" s="1">
        <v>1087568.06</v>
      </c>
      <c r="E188" s="2" t="s">
        <v>319</v>
      </c>
      <c r="F188" s="1">
        <v>852350.0</v>
      </c>
      <c r="G188" s="1">
        <v>78.37</v>
      </c>
      <c r="H188" s="2" t="s">
        <v>104</v>
      </c>
      <c r="I188" s="2">
        <v>72.0</v>
      </c>
      <c r="J188" s="1" t="str">
        <f t="shared" si="1"/>
        <v>500k–1M</v>
      </c>
    </row>
    <row r="189">
      <c r="A189" s="2" t="s">
        <v>631</v>
      </c>
      <c r="B189" s="2" t="s">
        <v>632</v>
      </c>
      <c r="C189" s="2" t="s">
        <v>633</v>
      </c>
      <c r="D189" s="1">
        <v>1081544.74</v>
      </c>
      <c r="E189" s="2" t="s">
        <v>13</v>
      </c>
      <c r="F189" s="1">
        <v>1081544.74</v>
      </c>
      <c r="G189" s="1">
        <v>100.0</v>
      </c>
      <c r="H189" s="2" t="s">
        <v>73</v>
      </c>
      <c r="I189" s="2">
        <v>46.0</v>
      </c>
      <c r="J189" s="1" t="str">
        <f t="shared" si="1"/>
        <v>1M–5M</v>
      </c>
    </row>
    <row r="190">
      <c r="A190" s="2" t="s">
        <v>634</v>
      </c>
      <c r="B190" s="2" t="s">
        <v>635</v>
      </c>
      <c r="C190" s="2" t="s">
        <v>636</v>
      </c>
      <c r="D190" s="1">
        <v>1078891.52</v>
      </c>
      <c r="E190" s="2" t="s">
        <v>156</v>
      </c>
      <c r="F190" s="1">
        <v>1077986.54</v>
      </c>
      <c r="G190" s="1">
        <v>99.92</v>
      </c>
      <c r="H190" s="2" t="s">
        <v>469</v>
      </c>
      <c r="I190" s="2">
        <v>133.0</v>
      </c>
      <c r="J190" s="1" t="str">
        <f t="shared" si="1"/>
        <v>1M–5M</v>
      </c>
    </row>
    <row r="191">
      <c r="A191" s="2" t="s">
        <v>637</v>
      </c>
      <c r="B191" s="2" t="s">
        <v>638</v>
      </c>
      <c r="C191" s="2" t="s">
        <v>639</v>
      </c>
      <c r="D191" s="1">
        <v>1068261.87</v>
      </c>
      <c r="E191" s="2" t="s">
        <v>13</v>
      </c>
      <c r="F191" s="1">
        <v>1068261.87</v>
      </c>
      <c r="G191" s="1">
        <v>100.0</v>
      </c>
      <c r="H191" s="2" t="s">
        <v>640</v>
      </c>
      <c r="I191" s="2">
        <v>62.0</v>
      </c>
      <c r="J191" s="1" t="str">
        <f t="shared" si="1"/>
        <v>1M–5M</v>
      </c>
    </row>
    <row r="192">
      <c r="A192" s="2" t="s">
        <v>641</v>
      </c>
      <c r="B192" s="2" t="s">
        <v>642</v>
      </c>
      <c r="C192" s="2" t="s">
        <v>643</v>
      </c>
      <c r="D192" s="1">
        <v>1065619.65</v>
      </c>
      <c r="E192" s="2" t="s">
        <v>156</v>
      </c>
      <c r="F192" s="1">
        <v>1048601.46</v>
      </c>
      <c r="G192" s="1">
        <v>98.4</v>
      </c>
      <c r="H192" s="2" t="s">
        <v>469</v>
      </c>
      <c r="I192" s="2">
        <v>149.0</v>
      </c>
      <c r="J192" s="1" t="str">
        <f t="shared" si="1"/>
        <v>1M–5M</v>
      </c>
    </row>
    <row r="193">
      <c r="A193" s="2" t="s">
        <v>644</v>
      </c>
      <c r="B193" s="2" t="s">
        <v>645</v>
      </c>
      <c r="C193" s="2" t="s">
        <v>646</v>
      </c>
      <c r="D193" s="1">
        <v>1041856.83</v>
      </c>
      <c r="E193" s="2" t="s">
        <v>156</v>
      </c>
      <c r="F193" s="1">
        <v>1041119.41</v>
      </c>
      <c r="G193" s="1">
        <v>99.93</v>
      </c>
      <c r="H193" s="2" t="s">
        <v>22</v>
      </c>
      <c r="I193" s="2">
        <v>141.0</v>
      </c>
      <c r="J193" s="1" t="str">
        <f t="shared" si="1"/>
        <v>1M–5M</v>
      </c>
    </row>
    <row r="194">
      <c r="A194" s="2" t="s">
        <v>647</v>
      </c>
      <c r="B194" s="2" t="s">
        <v>648</v>
      </c>
      <c r="C194" s="2" t="s">
        <v>649</v>
      </c>
      <c r="D194" s="1">
        <v>1040804.42</v>
      </c>
      <c r="E194" s="2" t="s">
        <v>650</v>
      </c>
      <c r="F194" s="1">
        <v>1031054.42</v>
      </c>
      <c r="G194" s="1">
        <v>99.06</v>
      </c>
      <c r="H194" s="2" t="s">
        <v>96</v>
      </c>
      <c r="I194" s="2">
        <v>120.0</v>
      </c>
      <c r="J194" s="1" t="str">
        <f t="shared" si="1"/>
        <v>1M–5M</v>
      </c>
    </row>
    <row r="195">
      <c r="A195" s="2" t="s">
        <v>651</v>
      </c>
      <c r="B195" s="2" t="s">
        <v>652</v>
      </c>
      <c r="C195" s="2" t="s">
        <v>653</v>
      </c>
      <c r="D195" s="1">
        <v>1035773.29</v>
      </c>
      <c r="E195" s="2" t="s">
        <v>257</v>
      </c>
      <c r="F195" s="1">
        <v>1035773.29</v>
      </c>
      <c r="G195" s="1">
        <v>100.0</v>
      </c>
      <c r="H195" s="2" t="s">
        <v>258</v>
      </c>
      <c r="I195" s="2">
        <v>37.0</v>
      </c>
      <c r="J195" s="1" t="str">
        <f t="shared" si="1"/>
        <v>1M–5M</v>
      </c>
    </row>
    <row r="196">
      <c r="A196" s="2" t="s">
        <v>654</v>
      </c>
      <c r="B196" s="2" t="s">
        <v>655</v>
      </c>
      <c r="C196" s="2" t="s">
        <v>656</v>
      </c>
      <c r="D196" s="1">
        <v>1034958.4</v>
      </c>
      <c r="E196" s="2" t="s">
        <v>657</v>
      </c>
      <c r="F196" s="1">
        <v>231332.5</v>
      </c>
      <c r="G196" s="1">
        <v>22.35</v>
      </c>
      <c r="H196" s="2" t="s">
        <v>96</v>
      </c>
      <c r="I196" s="2">
        <v>106.0</v>
      </c>
      <c r="J196" s="1" t="str">
        <f t="shared" si="1"/>
        <v>100k–500k</v>
      </c>
    </row>
    <row r="197">
      <c r="A197" s="2" t="s">
        <v>658</v>
      </c>
      <c r="B197" s="2" t="s">
        <v>659</v>
      </c>
      <c r="C197" s="2" t="s">
        <v>660</v>
      </c>
      <c r="D197" s="1">
        <v>1028588.67</v>
      </c>
      <c r="E197" s="2" t="s">
        <v>13</v>
      </c>
      <c r="F197" s="1">
        <v>1028301.68</v>
      </c>
      <c r="G197" s="1">
        <v>99.97</v>
      </c>
      <c r="H197" s="2" t="s">
        <v>182</v>
      </c>
      <c r="I197" s="2">
        <v>93.0</v>
      </c>
      <c r="J197" s="1" t="str">
        <f t="shared" si="1"/>
        <v>1M–5M</v>
      </c>
    </row>
    <row r="198">
      <c r="A198" s="2" t="s">
        <v>661</v>
      </c>
      <c r="B198" s="2" t="s">
        <v>662</v>
      </c>
      <c r="C198" s="2" t="s">
        <v>663</v>
      </c>
      <c r="D198" s="1">
        <v>1028375.0</v>
      </c>
      <c r="E198" s="2" t="s">
        <v>664</v>
      </c>
      <c r="F198" s="1">
        <v>360000.0</v>
      </c>
      <c r="G198" s="1">
        <v>35.01</v>
      </c>
      <c r="H198" s="2" t="s">
        <v>96</v>
      </c>
      <c r="I198" s="2">
        <v>17.0</v>
      </c>
      <c r="J198" s="1" t="str">
        <f t="shared" si="1"/>
        <v>100k–500k</v>
      </c>
    </row>
    <row r="199">
      <c r="A199" s="2" t="s">
        <v>665</v>
      </c>
      <c r="B199" s="2" t="s">
        <v>666</v>
      </c>
      <c r="C199" s="2" t="s">
        <v>667</v>
      </c>
      <c r="D199" s="1">
        <v>1026043.46</v>
      </c>
      <c r="E199" s="2" t="s">
        <v>156</v>
      </c>
      <c r="F199" s="1">
        <v>963961.9</v>
      </c>
      <c r="G199" s="1">
        <v>93.95</v>
      </c>
      <c r="H199" s="2" t="s">
        <v>77</v>
      </c>
      <c r="I199" s="2">
        <v>179.0</v>
      </c>
      <c r="J199" s="1" t="str">
        <f t="shared" si="1"/>
        <v>500k–1M</v>
      </c>
    </row>
    <row r="200">
      <c r="A200" s="2" t="s">
        <v>668</v>
      </c>
      <c r="B200" s="2" t="s">
        <v>669</v>
      </c>
      <c r="C200" s="2" t="s">
        <v>670</v>
      </c>
      <c r="D200" s="1">
        <v>1022950.65</v>
      </c>
      <c r="E200" s="2" t="s">
        <v>156</v>
      </c>
      <c r="F200" s="1">
        <v>698500.65</v>
      </c>
      <c r="G200" s="1">
        <v>68.28</v>
      </c>
      <c r="H200" s="2" t="s">
        <v>303</v>
      </c>
      <c r="I200" s="2">
        <v>131.0</v>
      </c>
      <c r="J200" s="1" t="str">
        <f t="shared" si="1"/>
        <v>500k–1M</v>
      </c>
    </row>
    <row r="201">
      <c r="A201" s="2" t="s">
        <v>671</v>
      </c>
      <c r="B201" s="2" t="s">
        <v>672</v>
      </c>
      <c r="C201" s="2" t="s">
        <v>673</v>
      </c>
      <c r="D201" s="1">
        <v>1018350.0</v>
      </c>
      <c r="E201" s="2" t="s">
        <v>95</v>
      </c>
      <c r="F201" s="1">
        <v>1018350.0</v>
      </c>
      <c r="G201" s="1">
        <v>100.0</v>
      </c>
      <c r="H201" s="2" t="s">
        <v>136</v>
      </c>
      <c r="I201" s="2">
        <v>82.0</v>
      </c>
      <c r="J201" s="1" t="str">
        <f t="shared" si="1"/>
        <v>1M–5M</v>
      </c>
    </row>
    <row r="202">
      <c r="A202" s="2" t="s">
        <v>674</v>
      </c>
      <c r="B202" s="2" t="s">
        <v>675</v>
      </c>
      <c r="C202" s="2" t="s">
        <v>676</v>
      </c>
      <c r="D202" s="1">
        <v>1018232.55</v>
      </c>
      <c r="E202" s="2" t="s">
        <v>13</v>
      </c>
      <c r="F202" s="1">
        <v>1018232.55</v>
      </c>
      <c r="G202" s="1">
        <v>100.0</v>
      </c>
      <c r="H202" s="2" t="s">
        <v>624</v>
      </c>
      <c r="I202" s="2">
        <v>75.0</v>
      </c>
      <c r="J202" s="1" t="str">
        <f t="shared" si="1"/>
        <v>1M–5M</v>
      </c>
    </row>
    <row r="203">
      <c r="A203" s="2" t="s">
        <v>677</v>
      </c>
      <c r="B203" s="2" t="s">
        <v>678</v>
      </c>
      <c r="C203" s="2" t="s">
        <v>679</v>
      </c>
      <c r="D203" s="1">
        <v>1006965.0</v>
      </c>
      <c r="E203" s="2" t="s">
        <v>680</v>
      </c>
      <c r="F203" s="1">
        <v>582850.0</v>
      </c>
      <c r="G203" s="1">
        <v>57.88</v>
      </c>
      <c r="H203" s="2" t="s">
        <v>96</v>
      </c>
      <c r="I203" s="2">
        <v>85.0</v>
      </c>
      <c r="J203" s="1" t="str">
        <f t="shared" si="1"/>
        <v>500k–1M</v>
      </c>
    </row>
    <row r="204">
      <c r="A204" s="2" t="s">
        <v>681</v>
      </c>
      <c r="B204" s="2" t="s">
        <v>682</v>
      </c>
      <c r="C204" s="2" t="s">
        <v>683</v>
      </c>
      <c r="D204" s="1">
        <v>1005576.2</v>
      </c>
      <c r="E204" s="2" t="s">
        <v>379</v>
      </c>
      <c r="F204" s="1">
        <v>1005576.2</v>
      </c>
      <c r="G204" s="1">
        <v>100.0</v>
      </c>
      <c r="H204" s="2" t="s">
        <v>491</v>
      </c>
      <c r="I204" s="2">
        <v>6.0</v>
      </c>
      <c r="J204" s="1" t="str">
        <f t="shared" si="1"/>
        <v>1M–5M</v>
      </c>
    </row>
    <row r="205">
      <c r="A205" s="2" t="s">
        <v>684</v>
      </c>
      <c r="B205" s="2" t="s">
        <v>685</v>
      </c>
      <c r="C205" s="2" t="s">
        <v>686</v>
      </c>
      <c r="D205" s="1">
        <v>1003000.0</v>
      </c>
      <c r="E205" s="2" t="s">
        <v>531</v>
      </c>
      <c r="F205" s="1">
        <v>1003000.0</v>
      </c>
      <c r="G205" s="1">
        <v>100.0</v>
      </c>
      <c r="H205" s="2" t="s">
        <v>380</v>
      </c>
      <c r="I205" s="2">
        <v>2.0</v>
      </c>
      <c r="J205" s="1" t="str">
        <f t="shared" si="1"/>
        <v>1M–5M</v>
      </c>
    </row>
    <row r="206">
      <c r="A206" s="2" t="s">
        <v>687</v>
      </c>
      <c r="B206" s="2" t="s">
        <v>688</v>
      </c>
      <c r="C206" s="2" t="s">
        <v>378</v>
      </c>
      <c r="D206" s="1">
        <v>1000000.0</v>
      </c>
      <c r="E206" s="2" t="s">
        <v>531</v>
      </c>
      <c r="F206" s="1">
        <v>1000000.0</v>
      </c>
      <c r="G206" s="1">
        <v>100.0</v>
      </c>
      <c r="H206" s="2" t="s">
        <v>491</v>
      </c>
      <c r="I206" s="2">
        <v>1.0</v>
      </c>
      <c r="J206" s="1" t="str">
        <f t="shared" si="1"/>
        <v>1M–5M</v>
      </c>
    </row>
    <row r="207">
      <c r="A207" s="2" t="s">
        <v>689</v>
      </c>
      <c r="B207" s="2" t="s">
        <v>690</v>
      </c>
      <c r="C207" s="2" t="s">
        <v>691</v>
      </c>
      <c r="D207" s="1">
        <v>999937.96</v>
      </c>
      <c r="E207" s="2" t="s">
        <v>95</v>
      </c>
      <c r="F207" s="1">
        <v>999937.96</v>
      </c>
      <c r="G207" s="1">
        <v>100.0</v>
      </c>
      <c r="H207" s="2" t="s">
        <v>427</v>
      </c>
      <c r="I207" s="2">
        <v>133.0</v>
      </c>
      <c r="J207" s="1" t="str">
        <f t="shared" si="1"/>
        <v>500k–1M</v>
      </c>
    </row>
    <row r="208">
      <c r="A208" s="2" t="s">
        <v>692</v>
      </c>
      <c r="B208" s="2" t="s">
        <v>693</v>
      </c>
      <c r="C208" s="2" t="s">
        <v>694</v>
      </c>
      <c r="D208" s="1">
        <v>998034.54</v>
      </c>
      <c r="E208" s="2" t="s">
        <v>695</v>
      </c>
      <c r="F208" s="1">
        <v>998034.54</v>
      </c>
      <c r="G208" s="1">
        <v>100.0</v>
      </c>
      <c r="H208" s="2" t="s">
        <v>30</v>
      </c>
      <c r="I208" s="2">
        <v>108.0</v>
      </c>
      <c r="J208" s="1" t="str">
        <f t="shared" si="1"/>
        <v>500k–1M</v>
      </c>
    </row>
    <row r="209">
      <c r="A209" s="2" t="s">
        <v>696</v>
      </c>
      <c r="B209" s="2" t="s">
        <v>697</v>
      </c>
      <c r="C209" s="2" t="s">
        <v>698</v>
      </c>
      <c r="D209" s="1">
        <v>997531.92</v>
      </c>
      <c r="E209" s="2" t="s">
        <v>13</v>
      </c>
      <c r="F209" s="1">
        <v>997531.92</v>
      </c>
      <c r="G209" s="1">
        <v>100.0</v>
      </c>
      <c r="H209" s="2" t="s">
        <v>420</v>
      </c>
      <c r="I209" s="2">
        <v>52.0</v>
      </c>
      <c r="J209" s="1" t="str">
        <f t="shared" si="1"/>
        <v>500k–1M</v>
      </c>
    </row>
    <row r="210">
      <c r="A210" s="2" t="s">
        <v>699</v>
      </c>
      <c r="B210" s="2" t="s">
        <v>700</v>
      </c>
      <c r="C210" s="2" t="s">
        <v>701</v>
      </c>
      <c r="D210" s="1">
        <v>997275.0</v>
      </c>
      <c r="E210" s="2" t="s">
        <v>520</v>
      </c>
      <c r="F210" s="1">
        <v>398750.0</v>
      </c>
      <c r="G210" s="1">
        <v>39.98</v>
      </c>
      <c r="H210" s="2" t="s">
        <v>96</v>
      </c>
      <c r="I210" s="2">
        <v>55.0</v>
      </c>
      <c r="J210" s="1" t="str">
        <f t="shared" si="1"/>
        <v>100k–500k</v>
      </c>
    </row>
    <row r="211">
      <c r="A211" s="2" t="s">
        <v>702</v>
      </c>
      <c r="B211" s="2" t="s">
        <v>703</v>
      </c>
      <c r="C211" s="2" t="s">
        <v>704</v>
      </c>
      <c r="D211" s="1">
        <v>994746.71</v>
      </c>
      <c r="E211" s="2" t="s">
        <v>13</v>
      </c>
      <c r="F211" s="1">
        <v>994746.71</v>
      </c>
      <c r="G211" s="1">
        <v>100.0</v>
      </c>
      <c r="H211" s="2" t="s">
        <v>77</v>
      </c>
      <c r="I211" s="2">
        <v>88.0</v>
      </c>
      <c r="J211" s="1" t="str">
        <f t="shared" si="1"/>
        <v>500k–1M</v>
      </c>
    </row>
    <row r="212">
      <c r="A212" s="2" t="s">
        <v>705</v>
      </c>
      <c r="B212" s="2" t="s">
        <v>706</v>
      </c>
      <c r="C212" s="2" t="s">
        <v>707</v>
      </c>
      <c r="D212" s="1">
        <v>994404.18</v>
      </c>
      <c r="E212" s="2" t="s">
        <v>708</v>
      </c>
      <c r="F212" s="1">
        <v>369500.0</v>
      </c>
      <c r="G212" s="1">
        <v>37.16</v>
      </c>
      <c r="H212" s="2" t="s">
        <v>96</v>
      </c>
      <c r="I212" s="2">
        <v>61.0</v>
      </c>
      <c r="J212" s="1" t="str">
        <f t="shared" si="1"/>
        <v>100k–500k</v>
      </c>
    </row>
    <row r="213">
      <c r="A213" s="2" t="s">
        <v>709</v>
      </c>
      <c r="B213" s="2" t="s">
        <v>710</v>
      </c>
      <c r="C213" s="2" t="s">
        <v>711</v>
      </c>
      <c r="D213" s="1">
        <v>994373.2</v>
      </c>
      <c r="E213" s="2" t="s">
        <v>95</v>
      </c>
      <c r="F213" s="1">
        <v>992233.2</v>
      </c>
      <c r="G213" s="1">
        <v>99.78</v>
      </c>
      <c r="H213" s="2" t="s">
        <v>136</v>
      </c>
      <c r="I213" s="2">
        <v>34.0</v>
      </c>
      <c r="J213" s="1" t="str">
        <f t="shared" si="1"/>
        <v>500k–1M</v>
      </c>
    </row>
    <row r="214">
      <c r="A214" s="2" t="s">
        <v>712</v>
      </c>
      <c r="B214" s="2" t="s">
        <v>713</v>
      </c>
      <c r="C214" s="2" t="s">
        <v>714</v>
      </c>
      <c r="D214" s="1">
        <v>992684.79</v>
      </c>
      <c r="E214" s="2" t="s">
        <v>13</v>
      </c>
      <c r="F214" s="1">
        <v>992684.79</v>
      </c>
      <c r="G214" s="1">
        <v>100.0</v>
      </c>
      <c r="H214" s="2" t="s">
        <v>136</v>
      </c>
      <c r="I214" s="2">
        <v>112.0</v>
      </c>
      <c r="J214" s="1" t="str">
        <f t="shared" si="1"/>
        <v>500k–1M</v>
      </c>
    </row>
    <row r="215">
      <c r="A215" s="2" t="s">
        <v>715</v>
      </c>
      <c r="B215" s="2" t="s">
        <v>716</v>
      </c>
      <c r="C215" s="2" t="s">
        <v>717</v>
      </c>
      <c r="D215" s="1">
        <v>992463.55</v>
      </c>
      <c r="E215" s="2" t="s">
        <v>13</v>
      </c>
      <c r="F215" s="1">
        <v>992463.55</v>
      </c>
      <c r="G215" s="1">
        <v>100.0</v>
      </c>
      <c r="H215" s="2" t="s">
        <v>73</v>
      </c>
      <c r="I215" s="2">
        <v>69.0</v>
      </c>
      <c r="J215" s="1" t="str">
        <f t="shared" si="1"/>
        <v>500k–1M</v>
      </c>
    </row>
    <row r="216">
      <c r="A216" s="2" t="s">
        <v>718</v>
      </c>
      <c r="B216" s="2" t="s">
        <v>719</v>
      </c>
      <c r="C216" s="2" t="s">
        <v>720</v>
      </c>
      <c r="D216" s="1">
        <v>975565.0</v>
      </c>
      <c r="E216" s="2" t="s">
        <v>680</v>
      </c>
      <c r="F216" s="1">
        <v>581250.0</v>
      </c>
      <c r="G216" s="1">
        <v>59.58</v>
      </c>
      <c r="H216" s="2" t="s">
        <v>96</v>
      </c>
      <c r="I216" s="2">
        <v>98.0</v>
      </c>
      <c r="J216" s="1" t="str">
        <f t="shared" si="1"/>
        <v>500k–1M</v>
      </c>
    </row>
    <row r="217">
      <c r="A217" s="2" t="s">
        <v>721</v>
      </c>
      <c r="B217" s="2" t="s">
        <v>722</v>
      </c>
      <c r="C217" s="2" t="s">
        <v>723</v>
      </c>
      <c r="D217" s="1">
        <v>973272.99</v>
      </c>
      <c r="E217" s="2" t="s">
        <v>724</v>
      </c>
      <c r="F217" s="1">
        <v>315000.0</v>
      </c>
      <c r="G217" s="1">
        <v>32.37</v>
      </c>
      <c r="H217" s="2" t="s">
        <v>136</v>
      </c>
      <c r="I217" s="2">
        <v>68.0</v>
      </c>
      <c r="J217" s="1" t="str">
        <f t="shared" si="1"/>
        <v>100k–500k</v>
      </c>
    </row>
    <row r="218">
      <c r="A218" s="2" t="s">
        <v>725</v>
      </c>
      <c r="B218" s="2" t="s">
        <v>726</v>
      </c>
      <c r="C218" s="2" t="s">
        <v>727</v>
      </c>
      <c r="D218" s="1">
        <v>961135.95</v>
      </c>
      <c r="E218" s="2" t="s">
        <v>319</v>
      </c>
      <c r="F218" s="1">
        <v>835550.0</v>
      </c>
      <c r="G218" s="1">
        <v>86.93</v>
      </c>
      <c r="H218" s="2" t="s">
        <v>427</v>
      </c>
      <c r="I218" s="2">
        <v>79.0</v>
      </c>
      <c r="J218" s="1" t="str">
        <f t="shared" si="1"/>
        <v>500k–1M</v>
      </c>
    </row>
    <row r="219">
      <c r="A219" s="2" t="s">
        <v>728</v>
      </c>
      <c r="B219" s="2" t="s">
        <v>729</v>
      </c>
      <c r="C219" s="2" t="s">
        <v>730</v>
      </c>
      <c r="D219" s="1">
        <v>960808.01</v>
      </c>
      <c r="E219" s="2" t="s">
        <v>731</v>
      </c>
      <c r="F219" s="1">
        <v>960808.01</v>
      </c>
      <c r="G219" s="1">
        <v>100.0</v>
      </c>
      <c r="H219" s="2" t="s">
        <v>732</v>
      </c>
      <c r="I219" s="2">
        <v>49.0</v>
      </c>
      <c r="J219" s="1" t="str">
        <f t="shared" si="1"/>
        <v>500k–1M</v>
      </c>
    </row>
    <row r="220">
      <c r="A220" s="2" t="s">
        <v>733</v>
      </c>
      <c r="B220" s="2" t="s">
        <v>734</v>
      </c>
      <c r="C220" s="2" t="s">
        <v>735</v>
      </c>
      <c r="D220" s="1">
        <v>959072.51</v>
      </c>
      <c r="E220" s="2" t="s">
        <v>257</v>
      </c>
      <c r="F220" s="1">
        <v>959072.51</v>
      </c>
      <c r="G220" s="1">
        <v>100.0</v>
      </c>
      <c r="H220" s="2" t="s">
        <v>258</v>
      </c>
      <c r="I220" s="2">
        <v>28.0</v>
      </c>
      <c r="J220" s="1" t="str">
        <f t="shared" si="1"/>
        <v>500k–1M</v>
      </c>
    </row>
    <row r="221">
      <c r="A221" s="2" t="s">
        <v>736</v>
      </c>
      <c r="B221" s="2" t="s">
        <v>737</v>
      </c>
      <c r="C221" s="2" t="s">
        <v>738</v>
      </c>
      <c r="D221" s="1">
        <v>958719.12</v>
      </c>
      <c r="E221" s="2" t="s">
        <v>156</v>
      </c>
      <c r="F221" s="1">
        <v>676987.89</v>
      </c>
      <c r="G221" s="1">
        <v>70.61</v>
      </c>
      <c r="H221" s="2" t="s">
        <v>91</v>
      </c>
      <c r="I221" s="2">
        <v>184.0</v>
      </c>
      <c r="J221" s="1" t="str">
        <f t="shared" si="1"/>
        <v>500k–1M</v>
      </c>
    </row>
    <row r="222">
      <c r="A222" s="2" t="s">
        <v>739</v>
      </c>
      <c r="B222" s="2" t="s">
        <v>740</v>
      </c>
      <c r="C222" s="2" t="s">
        <v>741</v>
      </c>
      <c r="D222" s="1">
        <v>957052.5</v>
      </c>
      <c r="E222" s="2" t="s">
        <v>680</v>
      </c>
      <c r="F222" s="1">
        <v>581250.0</v>
      </c>
      <c r="G222" s="1">
        <v>60.73</v>
      </c>
      <c r="H222" s="2" t="s">
        <v>136</v>
      </c>
      <c r="I222" s="2">
        <v>84.0</v>
      </c>
      <c r="J222" s="1" t="str">
        <f t="shared" si="1"/>
        <v>500k–1M</v>
      </c>
    </row>
    <row r="223">
      <c r="A223" s="2" t="s">
        <v>742</v>
      </c>
      <c r="B223" s="2" t="s">
        <v>743</v>
      </c>
      <c r="C223" s="2" t="s">
        <v>744</v>
      </c>
      <c r="D223" s="1">
        <v>946978.56</v>
      </c>
      <c r="E223" s="2" t="s">
        <v>235</v>
      </c>
      <c r="F223" s="1">
        <v>946978.56</v>
      </c>
      <c r="G223" s="1">
        <v>100.0</v>
      </c>
      <c r="H223" s="2" t="s">
        <v>73</v>
      </c>
      <c r="I223" s="2">
        <v>19.0</v>
      </c>
      <c r="J223" s="1" t="str">
        <f t="shared" si="1"/>
        <v>500k–1M</v>
      </c>
    </row>
    <row r="224">
      <c r="A224" s="2" t="s">
        <v>745</v>
      </c>
      <c r="B224" s="2" t="s">
        <v>746</v>
      </c>
      <c r="C224" s="2" t="s">
        <v>747</v>
      </c>
      <c r="D224" s="1">
        <v>942059.42</v>
      </c>
      <c r="E224" s="2" t="s">
        <v>748</v>
      </c>
      <c r="F224" s="1">
        <v>942059.42</v>
      </c>
      <c r="G224" s="1">
        <v>100.0</v>
      </c>
      <c r="H224" s="2" t="s">
        <v>73</v>
      </c>
      <c r="I224" s="2">
        <v>60.0</v>
      </c>
      <c r="J224" s="1" t="str">
        <f t="shared" si="1"/>
        <v>500k–1M</v>
      </c>
    </row>
    <row r="225">
      <c r="A225" s="2" t="s">
        <v>749</v>
      </c>
      <c r="B225" s="2" t="s">
        <v>750</v>
      </c>
      <c r="C225" s="2" t="s">
        <v>751</v>
      </c>
      <c r="D225" s="1">
        <v>940855.42</v>
      </c>
      <c r="E225" s="2" t="s">
        <v>156</v>
      </c>
      <c r="F225" s="1">
        <v>937714.6</v>
      </c>
      <c r="G225" s="1">
        <v>99.67</v>
      </c>
      <c r="H225" s="2" t="s">
        <v>77</v>
      </c>
      <c r="I225" s="2">
        <v>161.0</v>
      </c>
      <c r="J225" s="1" t="str">
        <f t="shared" si="1"/>
        <v>500k–1M</v>
      </c>
    </row>
    <row r="226">
      <c r="A226" s="2" t="s">
        <v>752</v>
      </c>
      <c r="B226" s="2" t="s">
        <v>753</v>
      </c>
      <c r="C226" s="2" t="s">
        <v>754</v>
      </c>
      <c r="D226" s="1">
        <v>940510.18</v>
      </c>
      <c r="E226" s="2" t="s">
        <v>13</v>
      </c>
      <c r="F226" s="1">
        <v>940510.18</v>
      </c>
      <c r="G226" s="1">
        <v>100.0</v>
      </c>
      <c r="H226" s="2" t="s">
        <v>34</v>
      </c>
      <c r="I226" s="2">
        <v>79.0</v>
      </c>
      <c r="J226" s="1" t="str">
        <f t="shared" si="1"/>
        <v>500k–1M</v>
      </c>
    </row>
    <row r="227">
      <c r="A227" s="2" t="s">
        <v>755</v>
      </c>
      <c r="B227" s="2" t="s">
        <v>756</v>
      </c>
      <c r="C227" s="2" t="s">
        <v>757</v>
      </c>
      <c r="D227" s="1">
        <v>940351.78</v>
      </c>
      <c r="E227" s="2" t="s">
        <v>319</v>
      </c>
      <c r="F227" s="1">
        <v>667775.0</v>
      </c>
      <c r="G227" s="1">
        <v>71.01</v>
      </c>
      <c r="H227" s="2" t="s">
        <v>22</v>
      </c>
      <c r="I227" s="2">
        <v>108.0</v>
      </c>
      <c r="J227" s="1" t="str">
        <f t="shared" si="1"/>
        <v>500k–1M</v>
      </c>
    </row>
    <row r="228">
      <c r="A228" s="2" t="s">
        <v>758</v>
      </c>
      <c r="B228" s="2" t="s">
        <v>759</v>
      </c>
      <c r="C228" s="2" t="s">
        <v>760</v>
      </c>
      <c r="D228" s="1">
        <v>938449.81</v>
      </c>
      <c r="E228" s="2" t="s">
        <v>235</v>
      </c>
      <c r="F228" s="1">
        <v>938449.81</v>
      </c>
      <c r="G228" s="1">
        <v>100.0</v>
      </c>
      <c r="H228" s="2" t="s">
        <v>73</v>
      </c>
      <c r="I228" s="2">
        <v>15.0</v>
      </c>
      <c r="J228" s="1" t="str">
        <f t="shared" si="1"/>
        <v>500k–1M</v>
      </c>
    </row>
    <row r="229">
      <c r="A229" s="2" t="s">
        <v>761</v>
      </c>
      <c r="B229" s="2" t="s">
        <v>762</v>
      </c>
      <c r="C229" s="2" t="s">
        <v>763</v>
      </c>
      <c r="D229" s="1">
        <v>937118.14</v>
      </c>
      <c r="E229" s="2" t="s">
        <v>13</v>
      </c>
      <c r="F229" s="1">
        <v>937118.14</v>
      </c>
      <c r="G229" s="1">
        <v>100.0</v>
      </c>
      <c r="H229" s="2" t="s">
        <v>22</v>
      </c>
      <c r="I229" s="2">
        <v>60.0</v>
      </c>
      <c r="J229" s="1" t="str">
        <f t="shared" si="1"/>
        <v>500k–1M</v>
      </c>
    </row>
    <row r="230">
      <c r="A230" s="2" t="s">
        <v>764</v>
      </c>
      <c r="B230" s="2" t="s">
        <v>765</v>
      </c>
      <c r="C230" s="2" t="s">
        <v>766</v>
      </c>
      <c r="D230" s="1">
        <v>931851.08</v>
      </c>
      <c r="E230" s="2" t="s">
        <v>156</v>
      </c>
      <c r="F230" s="1">
        <v>921251.68</v>
      </c>
      <c r="G230" s="1">
        <v>98.86</v>
      </c>
      <c r="H230" s="2" t="s">
        <v>77</v>
      </c>
      <c r="I230" s="2">
        <v>193.0</v>
      </c>
      <c r="J230" s="1" t="str">
        <f t="shared" si="1"/>
        <v>500k–1M</v>
      </c>
    </row>
    <row r="231">
      <c r="A231" s="2" t="s">
        <v>767</v>
      </c>
      <c r="B231" s="2" t="s">
        <v>768</v>
      </c>
      <c r="C231" s="2" t="s">
        <v>769</v>
      </c>
      <c r="D231" s="1">
        <v>929518.33</v>
      </c>
      <c r="E231" s="2" t="s">
        <v>319</v>
      </c>
      <c r="F231" s="1">
        <v>507600.0</v>
      </c>
      <c r="G231" s="1">
        <v>54.61</v>
      </c>
      <c r="H231" s="2" t="s">
        <v>104</v>
      </c>
      <c r="I231" s="2">
        <v>84.0</v>
      </c>
      <c r="J231" s="1" t="str">
        <f t="shared" si="1"/>
        <v>500k–1M</v>
      </c>
    </row>
    <row r="232">
      <c r="A232" s="2" t="s">
        <v>770</v>
      </c>
      <c r="B232" s="2" t="s">
        <v>771</v>
      </c>
      <c r="C232" s="2" t="s">
        <v>772</v>
      </c>
      <c r="D232" s="1">
        <v>926556.68</v>
      </c>
      <c r="E232" s="2" t="s">
        <v>257</v>
      </c>
      <c r="F232" s="1">
        <v>926556.68</v>
      </c>
      <c r="G232" s="1">
        <v>100.0</v>
      </c>
      <c r="H232" s="2" t="s">
        <v>73</v>
      </c>
      <c r="I232" s="2">
        <v>28.0</v>
      </c>
      <c r="J232" s="1" t="str">
        <f t="shared" si="1"/>
        <v>500k–1M</v>
      </c>
    </row>
    <row r="233">
      <c r="A233" s="2" t="s">
        <v>773</v>
      </c>
      <c r="B233" s="2" t="s">
        <v>774</v>
      </c>
      <c r="C233" s="2" t="s">
        <v>775</v>
      </c>
      <c r="D233" s="1">
        <v>923562.93</v>
      </c>
      <c r="E233" s="2" t="s">
        <v>13</v>
      </c>
      <c r="F233" s="1">
        <v>923562.93</v>
      </c>
      <c r="G233" s="1">
        <v>100.0</v>
      </c>
      <c r="H233" s="2" t="s">
        <v>22</v>
      </c>
      <c r="I233" s="2">
        <v>40.0</v>
      </c>
      <c r="J233" s="1" t="str">
        <f t="shared" si="1"/>
        <v>500k–1M</v>
      </c>
    </row>
    <row r="234">
      <c r="A234" s="2" t="s">
        <v>776</v>
      </c>
      <c r="B234" s="2" t="s">
        <v>777</v>
      </c>
      <c r="C234" s="2" t="s">
        <v>778</v>
      </c>
      <c r="D234" s="1">
        <v>920401.87</v>
      </c>
      <c r="E234" s="2" t="s">
        <v>225</v>
      </c>
      <c r="F234" s="1">
        <v>285625.0</v>
      </c>
      <c r="G234" s="1">
        <v>31.03</v>
      </c>
      <c r="H234" s="2" t="s">
        <v>14</v>
      </c>
      <c r="I234" s="2">
        <v>46.0</v>
      </c>
      <c r="J234" s="1" t="str">
        <f t="shared" si="1"/>
        <v>100k–500k</v>
      </c>
    </row>
    <row r="235">
      <c r="A235" s="2" t="s">
        <v>779</v>
      </c>
      <c r="B235" s="2" t="s">
        <v>780</v>
      </c>
      <c r="C235" s="2" t="s">
        <v>781</v>
      </c>
      <c r="D235" s="1">
        <v>918862.6</v>
      </c>
      <c r="E235" s="2" t="s">
        <v>235</v>
      </c>
      <c r="F235" s="1">
        <v>918862.6</v>
      </c>
      <c r="G235" s="1">
        <v>100.0</v>
      </c>
      <c r="H235" s="2" t="s">
        <v>73</v>
      </c>
      <c r="I235" s="2">
        <v>14.0</v>
      </c>
      <c r="J235" s="1" t="str">
        <f t="shared" si="1"/>
        <v>500k–1M</v>
      </c>
    </row>
    <row r="236">
      <c r="A236" s="2" t="s">
        <v>782</v>
      </c>
      <c r="B236" s="2" t="s">
        <v>783</v>
      </c>
      <c r="C236" s="2" t="s">
        <v>784</v>
      </c>
      <c r="D236" s="1">
        <v>917282.25</v>
      </c>
      <c r="E236" s="2" t="s">
        <v>748</v>
      </c>
      <c r="F236" s="1">
        <v>917282.25</v>
      </c>
      <c r="G236" s="1">
        <v>100.0</v>
      </c>
      <c r="H236" s="2" t="s">
        <v>73</v>
      </c>
      <c r="I236" s="2">
        <v>46.0</v>
      </c>
      <c r="J236" s="1" t="str">
        <f t="shared" si="1"/>
        <v>500k–1M</v>
      </c>
    </row>
    <row r="237">
      <c r="A237" s="2" t="s">
        <v>785</v>
      </c>
      <c r="B237" s="2" t="s">
        <v>786</v>
      </c>
      <c r="C237" s="2" t="s">
        <v>787</v>
      </c>
      <c r="D237" s="1">
        <v>915941.68</v>
      </c>
      <c r="E237" s="2" t="s">
        <v>257</v>
      </c>
      <c r="F237" s="1">
        <v>915941.68</v>
      </c>
      <c r="G237" s="1">
        <v>100.0</v>
      </c>
      <c r="H237" s="2" t="s">
        <v>258</v>
      </c>
      <c r="I237" s="2">
        <v>34.0</v>
      </c>
      <c r="J237" s="1" t="str">
        <f t="shared" si="1"/>
        <v>500k–1M</v>
      </c>
    </row>
    <row r="238">
      <c r="A238" s="2" t="s">
        <v>788</v>
      </c>
      <c r="B238" s="2" t="s">
        <v>789</v>
      </c>
      <c r="C238" s="2" t="s">
        <v>790</v>
      </c>
      <c r="D238" s="1">
        <v>913167.87</v>
      </c>
      <c r="E238" s="2" t="s">
        <v>257</v>
      </c>
      <c r="F238" s="1">
        <v>913167.87</v>
      </c>
      <c r="G238" s="1">
        <v>100.0</v>
      </c>
      <c r="H238" s="2" t="s">
        <v>258</v>
      </c>
      <c r="I238" s="2">
        <v>35.0</v>
      </c>
      <c r="J238" s="1" t="str">
        <f t="shared" si="1"/>
        <v>500k–1M</v>
      </c>
    </row>
    <row r="239">
      <c r="A239" s="2" t="s">
        <v>791</v>
      </c>
      <c r="B239" s="2" t="s">
        <v>792</v>
      </c>
      <c r="C239" s="2" t="s">
        <v>793</v>
      </c>
      <c r="D239" s="1">
        <v>907265.97</v>
      </c>
      <c r="E239" s="2" t="s">
        <v>235</v>
      </c>
      <c r="F239" s="1">
        <v>907265.97</v>
      </c>
      <c r="G239" s="1">
        <v>100.0</v>
      </c>
      <c r="H239" s="2" t="s">
        <v>73</v>
      </c>
      <c r="I239" s="2">
        <v>20.0</v>
      </c>
      <c r="J239" s="1" t="str">
        <f t="shared" si="1"/>
        <v>500k–1M</v>
      </c>
    </row>
    <row r="240">
      <c r="A240" s="2" t="s">
        <v>794</v>
      </c>
      <c r="B240" s="2" t="s">
        <v>795</v>
      </c>
      <c r="C240" s="2" t="s">
        <v>796</v>
      </c>
      <c r="D240" s="1">
        <v>906674.17</v>
      </c>
      <c r="E240" s="2" t="s">
        <v>95</v>
      </c>
      <c r="F240" s="1">
        <v>906674.17</v>
      </c>
      <c r="G240" s="1">
        <v>100.0</v>
      </c>
      <c r="H240" s="2" t="s">
        <v>96</v>
      </c>
      <c r="I240" s="2">
        <v>111.0</v>
      </c>
      <c r="J240" s="1" t="str">
        <f t="shared" si="1"/>
        <v>500k–1M</v>
      </c>
    </row>
    <row r="241">
      <c r="A241" s="2" t="s">
        <v>797</v>
      </c>
      <c r="B241" s="2" t="s">
        <v>798</v>
      </c>
      <c r="C241" s="2" t="s">
        <v>799</v>
      </c>
      <c r="D241" s="1">
        <v>905759.42</v>
      </c>
      <c r="E241" s="2" t="s">
        <v>13</v>
      </c>
      <c r="F241" s="1">
        <v>905759.42</v>
      </c>
      <c r="G241" s="1">
        <v>100.0</v>
      </c>
      <c r="H241" s="2" t="s">
        <v>624</v>
      </c>
      <c r="I241" s="2">
        <v>56.0</v>
      </c>
      <c r="J241" s="1" t="str">
        <f t="shared" si="1"/>
        <v>500k–1M</v>
      </c>
    </row>
    <row r="242">
      <c r="A242" s="2" t="s">
        <v>800</v>
      </c>
      <c r="B242" s="2" t="s">
        <v>801</v>
      </c>
      <c r="C242" s="2" t="s">
        <v>802</v>
      </c>
      <c r="D242" s="1">
        <v>905337.92</v>
      </c>
      <c r="E242" s="2" t="s">
        <v>509</v>
      </c>
      <c r="F242" s="1">
        <v>905337.92</v>
      </c>
      <c r="G242" s="1">
        <v>100.0</v>
      </c>
      <c r="H242" s="2" t="s">
        <v>258</v>
      </c>
      <c r="I242" s="2">
        <v>46.0</v>
      </c>
      <c r="J242" s="1" t="str">
        <f t="shared" si="1"/>
        <v>500k–1M</v>
      </c>
    </row>
    <row r="243">
      <c r="A243" s="2" t="s">
        <v>803</v>
      </c>
      <c r="B243" s="2" t="s">
        <v>804</v>
      </c>
      <c r="C243" s="2" t="s">
        <v>805</v>
      </c>
      <c r="D243" s="1">
        <v>900796.69</v>
      </c>
      <c r="E243" s="2" t="s">
        <v>13</v>
      </c>
      <c r="F243" s="1">
        <v>900796.69</v>
      </c>
      <c r="G243" s="1">
        <v>100.0</v>
      </c>
      <c r="H243" s="2" t="s">
        <v>624</v>
      </c>
      <c r="I243" s="2">
        <v>66.0</v>
      </c>
      <c r="J243" s="1" t="str">
        <f t="shared" si="1"/>
        <v>500k–1M</v>
      </c>
    </row>
    <row r="244">
      <c r="A244" s="2" t="s">
        <v>806</v>
      </c>
      <c r="B244" s="2" t="s">
        <v>807</v>
      </c>
      <c r="C244" s="2" t="s">
        <v>808</v>
      </c>
      <c r="D244" s="1">
        <v>900411.64</v>
      </c>
      <c r="E244" s="2" t="s">
        <v>602</v>
      </c>
      <c r="F244" s="1">
        <v>453497.21</v>
      </c>
      <c r="G244" s="1">
        <v>50.37</v>
      </c>
      <c r="H244" s="2" t="s">
        <v>96</v>
      </c>
      <c r="I244" s="2">
        <v>72.0</v>
      </c>
      <c r="J244" s="1" t="str">
        <f t="shared" si="1"/>
        <v>100k–500k</v>
      </c>
    </row>
    <row r="245">
      <c r="A245" s="2" t="s">
        <v>809</v>
      </c>
      <c r="B245" s="2" t="s">
        <v>810</v>
      </c>
      <c r="C245" s="2" t="s">
        <v>811</v>
      </c>
      <c r="D245" s="1">
        <v>899311.33</v>
      </c>
      <c r="E245" s="2" t="s">
        <v>13</v>
      </c>
      <c r="F245" s="1">
        <v>899311.33</v>
      </c>
      <c r="G245" s="1">
        <v>100.0</v>
      </c>
      <c r="H245" s="2" t="s">
        <v>96</v>
      </c>
      <c r="I245" s="2">
        <v>76.0</v>
      </c>
      <c r="J245" s="1" t="str">
        <f t="shared" si="1"/>
        <v>500k–1M</v>
      </c>
    </row>
    <row r="246">
      <c r="A246" s="2" t="s">
        <v>812</v>
      </c>
      <c r="B246" s="2" t="s">
        <v>813</v>
      </c>
      <c r="C246" s="2" t="s">
        <v>814</v>
      </c>
      <c r="D246" s="1">
        <v>896793.47</v>
      </c>
      <c r="E246" s="2" t="s">
        <v>13</v>
      </c>
      <c r="F246" s="1">
        <v>896793.47</v>
      </c>
      <c r="G246" s="1">
        <v>100.0</v>
      </c>
      <c r="H246" s="2" t="s">
        <v>22</v>
      </c>
      <c r="I246" s="2">
        <v>38.0</v>
      </c>
      <c r="J246" s="1" t="str">
        <f t="shared" si="1"/>
        <v>500k–1M</v>
      </c>
    </row>
    <row r="247">
      <c r="A247" s="2" t="s">
        <v>815</v>
      </c>
      <c r="B247" s="2" t="s">
        <v>816</v>
      </c>
      <c r="C247" s="2" t="s">
        <v>817</v>
      </c>
      <c r="D247" s="1">
        <v>896625.35</v>
      </c>
      <c r="E247" s="2" t="s">
        <v>13</v>
      </c>
      <c r="F247" s="1">
        <v>865896.21</v>
      </c>
      <c r="G247" s="1">
        <v>96.57</v>
      </c>
      <c r="H247" s="2" t="s">
        <v>73</v>
      </c>
      <c r="I247" s="2">
        <v>78.0</v>
      </c>
      <c r="J247" s="1" t="str">
        <f t="shared" si="1"/>
        <v>500k–1M</v>
      </c>
    </row>
    <row r="248">
      <c r="A248" s="2" t="s">
        <v>818</v>
      </c>
      <c r="B248" s="2" t="s">
        <v>819</v>
      </c>
      <c r="C248" s="2" t="s">
        <v>820</v>
      </c>
      <c r="D248" s="1">
        <v>892838.77</v>
      </c>
      <c r="E248" s="2" t="s">
        <v>748</v>
      </c>
      <c r="F248" s="1">
        <v>892838.77</v>
      </c>
      <c r="G248" s="1">
        <v>100.0</v>
      </c>
      <c r="H248" s="2" t="s">
        <v>73</v>
      </c>
      <c r="I248" s="2">
        <v>49.0</v>
      </c>
      <c r="J248" s="1" t="str">
        <f t="shared" si="1"/>
        <v>500k–1M</v>
      </c>
    </row>
    <row r="249">
      <c r="A249" s="2" t="s">
        <v>821</v>
      </c>
      <c r="B249" s="2" t="s">
        <v>822</v>
      </c>
      <c r="C249" s="2" t="s">
        <v>823</v>
      </c>
      <c r="D249" s="1">
        <v>891143.25</v>
      </c>
      <c r="E249" s="2" t="s">
        <v>509</v>
      </c>
      <c r="F249" s="1">
        <v>890343.25</v>
      </c>
      <c r="G249" s="1">
        <v>99.91</v>
      </c>
      <c r="H249" s="2" t="s">
        <v>26</v>
      </c>
      <c r="I249" s="2">
        <v>65.0</v>
      </c>
      <c r="J249" s="1" t="str">
        <f t="shared" si="1"/>
        <v>500k–1M</v>
      </c>
    </row>
    <row r="250">
      <c r="A250" s="2" t="s">
        <v>824</v>
      </c>
      <c r="B250" s="2" t="s">
        <v>825</v>
      </c>
      <c r="C250" s="2" t="s">
        <v>826</v>
      </c>
      <c r="D250" s="1">
        <v>888552.89</v>
      </c>
      <c r="E250" s="2" t="s">
        <v>156</v>
      </c>
      <c r="F250" s="1">
        <v>887302.89</v>
      </c>
      <c r="G250" s="1">
        <v>99.86</v>
      </c>
      <c r="H250" s="2" t="s">
        <v>77</v>
      </c>
      <c r="I250" s="2">
        <v>191.0</v>
      </c>
      <c r="J250" s="1" t="str">
        <f t="shared" si="1"/>
        <v>500k–1M</v>
      </c>
    </row>
    <row r="251">
      <c r="A251" s="2" t="s">
        <v>827</v>
      </c>
      <c r="B251" s="2" t="s">
        <v>828</v>
      </c>
      <c r="C251" s="2" t="s">
        <v>829</v>
      </c>
      <c r="D251" s="1">
        <v>887682.26</v>
      </c>
      <c r="E251" s="2" t="s">
        <v>225</v>
      </c>
      <c r="F251" s="1">
        <v>286750.0</v>
      </c>
      <c r="G251" s="1">
        <v>32.3</v>
      </c>
      <c r="H251" s="2" t="s">
        <v>427</v>
      </c>
      <c r="I251" s="2">
        <v>62.0</v>
      </c>
      <c r="J251" s="1" t="str">
        <f t="shared" si="1"/>
        <v>100k–500k</v>
      </c>
    </row>
    <row r="252">
      <c r="A252" s="2" t="s">
        <v>830</v>
      </c>
      <c r="B252" s="2" t="s">
        <v>831</v>
      </c>
      <c r="C252" s="2" t="s">
        <v>832</v>
      </c>
      <c r="D252" s="1">
        <v>886948.75</v>
      </c>
      <c r="E252" s="2" t="s">
        <v>520</v>
      </c>
      <c r="F252" s="1">
        <v>382500.0</v>
      </c>
      <c r="G252" s="1">
        <v>43.13</v>
      </c>
      <c r="H252" s="2" t="s">
        <v>96</v>
      </c>
      <c r="I252" s="2">
        <v>75.0</v>
      </c>
      <c r="J252" s="1" t="str">
        <f t="shared" si="1"/>
        <v>100k–500k</v>
      </c>
    </row>
    <row r="253">
      <c r="A253" s="2" t="s">
        <v>833</v>
      </c>
      <c r="B253" s="2" t="s">
        <v>834</v>
      </c>
      <c r="C253" s="2" t="s">
        <v>835</v>
      </c>
      <c r="D253" s="1">
        <v>882337.52</v>
      </c>
      <c r="E253" s="2" t="s">
        <v>95</v>
      </c>
      <c r="F253" s="1">
        <v>640394.34</v>
      </c>
      <c r="G253" s="1">
        <v>72.58</v>
      </c>
      <c r="H253" s="2" t="s">
        <v>427</v>
      </c>
      <c r="I253" s="2">
        <v>154.0</v>
      </c>
      <c r="J253" s="1" t="str">
        <f t="shared" si="1"/>
        <v>500k–1M</v>
      </c>
    </row>
    <row r="254">
      <c r="A254" s="2" t="s">
        <v>836</v>
      </c>
      <c r="B254" s="2" t="s">
        <v>837</v>
      </c>
      <c r="C254" s="2" t="s">
        <v>838</v>
      </c>
      <c r="D254" s="1">
        <v>880971.94</v>
      </c>
      <c r="E254" s="2" t="s">
        <v>509</v>
      </c>
      <c r="F254" s="1">
        <v>880011.94</v>
      </c>
      <c r="G254" s="1">
        <v>99.89</v>
      </c>
      <c r="H254" s="2" t="s">
        <v>96</v>
      </c>
      <c r="I254" s="2">
        <v>63.0</v>
      </c>
      <c r="J254" s="1" t="str">
        <f t="shared" si="1"/>
        <v>500k–1M</v>
      </c>
    </row>
    <row r="255">
      <c r="A255" s="2" t="s">
        <v>839</v>
      </c>
      <c r="B255" s="2" t="s">
        <v>840</v>
      </c>
      <c r="C255" s="2" t="s">
        <v>841</v>
      </c>
      <c r="D255" s="1">
        <v>879784.52</v>
      </c>
      <c r="E255" s="2" t="s">
        <v>13</v>
      </c>
      <c r="F255" s="1">
        <v>879784.52</v>
      </c>
      <c r="G255" s="1">
        <v>100.0</v>
      </c>
      <c r="H255" s="2" t="s">
        <v>842</v>
      </c>
      <c r="I255" s="2">
        <v>68.0</v>
      </c>
      <c r="J255" s="1" t="str">
        <f t="shared" si="1"/>
        <v>500k–1M</v>
      </c>
    </row>
    <row r="256">
      <c r="A256" s="2" t="s">
        <v>843</v>
      </c>
      <c r="B256" s="2" t="s">
        <v>844</v>
      </c>
      <c r="C256" s="2" t="s">
        <v>845</v>
      </c>
      <c r="D256" s="1">
        <v>878913.44</v>
      </c>
      <c r="E256" s="2" t="s">
        <v>509</v>
      </c>
      <c r="F256" s="1">
        <v>878913.44</v>
      </c>
      <c r="G256" s="1">
        <v>100.0</v>
      </c>
      <c r="H256" s="2" t="s">
        <v>96</v>
      </c>
      <c r="I256" s="2">
        <v>59.0</v>
      </c>
      <c r="J256" s="1" t="str">
        <f t="shared" si="1"/>
        <v>500k–1M</v>
      </c>
    </row>
    <row r="257">
      <c r="A257" s="2" t="s">
        <v>846</v>
      </c>
      <c r="B257" s="2" t="s">
        <v>847</v>
      </c>
      <c r="C257" s="2" t="s">
        <v>848</v>
      </c>
      <c r="D257" s="1">
        <v>876398.79</v>
      </c>
      <c r="E257" s="2" t="s">
        <v>849</v>
      </c>
      <c r="F257" s="1">
        <v>404726.22</v>
      </c>
      <c r="G257" s="1">
        <v>46.18</v>
      </c>
      <c r="H257" s="2" t="s">
        <v>258</v>
      </c>
      <c r="I257" s="2">
        <v>258.0</v>
      </c>
      <c r="J257" s="1" t="str">
        <f t="shared" si="1"/>
        <v>100k–500k</v>
      </c>
    </row>
    <row r="258">
      <c r="A258" s="2" t="s">
        <v>850</v>
      </c>
      <c r="B258" s="2" t="s">
        <v>851</v>
      </c>
      <c r="C258" s="2" t="s">
        <v>852</v>
      </c>
      <c r="D258" s="1">
        <v>875697.77</v>
      </c>
      <c r="E258" s="2" t="s">
        <v>748</v>
      </c>
      <c r="F258" s="1">
        <v>875697.77</v>
      </c>
      <c r="G258" s="1">
        <v>100.0</v>
      </c>
      <c r="H258" s="2" t="s">
        <v>73</v>
      </c>
      <c r="I258" s="2">
        <v>39.0</v>
      </c>
      <c r="J258" s="1" t="str">
        <f t="shared" si="1"/>
        <v>500k–1M</v>
      </c>
    </row>
    <row r="259">
      <c r="A259" s="2" t="s">
        <v>853</v>
      </c>
      <c r="B259" s="2" t="s">
        <v>854</v>
      </c>
      <c r="C259" s="2" t="s">
        <v>855</v>
      </c>
      <c r="D259" s="1">
        <v>872580.26</v>
      </c>
      <c r="E259" s="2" t="s">
        <v>13</v>
      </c>
      <c r="F259" s="1">
        <v>872580.26</v>
      </c>
      <c r="G259" s="1">
        <v>100.0</v>
      </c>
      <c r="H259" s="2" t="s">
        <v>480</v>
      </c>
      <c r="I259" s="2">
        <v>54.0</v>
      </c>
      <c r="J259" s="1" t="str">
        <f t="shared" si="1"/>
        <v>500k–1M</v>
      </c>
    </row>
    <row r="260">
      <c r="A260" s="2" t="s">
        <v>856</v>
      </c>
      <c r="B260" s="2" t="s">
        <v>857</v>
      </c>
      <c r="C260" s="2" t="s">
        <v>858</v>
      </c>
      <c r="D260" s="1">
        <v>871858.71</v>
      </c>
      <c r="E260" s="2" t="s">
        <v>509</v>
      </c>
      <c r="F260" s="1">
        <v>871439.11</v>
      </c>
      <c r="G260" s="1">
        <v>99.95</v>
      </c>
      <c r="H260" s="2" t="s">
        <v>258</v>
      </c>
      <c r="I260" s="2">
        <v>30.0</v>
      </c>
      <c r="J260" s="1" t="str">
        <f t="shared" si="1"/>
        <v>500k–1M</v>
      </c>
    </row>
    <row r="261">
      <c r="A261" s="2" t="s">
        <v>859</v>
      </c>
      <c r="B261" s="2" t="s">
        <v>860</v>
      </c>
      <c r="C261" s="2" t="s">
        <v>861</v>
      </c>
      <c r="D261" s="1">
        <v>871452.21</v>
      </c>
      <c r="E261" s="2" t="s">
        <v>13</v>
      </c>
      <c r="F261" s="1">
        <v>871452.21</v>
      </c>
      <c r="G261" s="1">
        <v>100.0</v>
      </c>
      <c r="H261" s="2" t="s">
        <v>73</v>
      </c>
      <c r="I261" s="2">
        <v>43.0</v>
      </c>
      <c r="J261" s="1" t="str">
        <f t="shared" si="1"/>
        <v>500k–1M</v>
      </c>
    </row>
    <row r="262">
      <c r="A262" s="2" t="s">
        <v>862</v>
      </c>
      <c r="B262" s="2" t="s">
        <v>863</v>
      </c>
      <c r="C262" s="2" t="s">
        <v>864</v>
      </c>
      <c r="D262" s="1">
        <v>870287.26</v>
      </c>
      <c r="E262" s="2" t="s">
        <v>156</v>
      </c>
      <c r="F262" s="1">
        <v>842358.21</v>
      </c>
      <c r="G262" s="1">
        <v>96.79</v>
      </c>
      <c r="H262" s="2" t="s">
        <v>30</v>
      </c>
      <c r="I262" s="2">
        <v>209.0</v>
      </c>
      <c r="J262" s="1" t="str">
        <f t="shared" si="1"/>
        <v>500k–1M</v>
      </c>
    </row>
    <row r="263">
      <c r="A263" s="2" t="s">
        <v>865</v>
      </c>
      <c r="B263" s="2" t="s">
        <v>866</v>
      </c>
      <c r="C263" s="2" t="s">
        <v>867</v>
      </c>
      <c r="D263" s="1">
        <v>870019.77</v>
      </c>
      <c r="E263" s="2" t="s">
        <v>95</v>
      </c>
      <c r="F263" s="1">
        <v>869692.77</v>
      </c>
      <c r="G263" s="1">
        <v>99.96</v>
      </c>
      <c r="H263" s="2" t="s">
        <v>30</v>
      </c>
      <c r="I263" s="2">
        <v>61.0</v>
      </c>
      <c r="J263" s="1" t="str">
        <f t="shared" si="1"/>
        <v>500k–1M</v>
      </c>
    </row>
    <row r="264">
      <c r="A264" s="2" t="s">
        <v>868</v>
      </c>
      <c r="B264" s="2" t="s">
        <v>869</v>
      </c>
      <c r="C264" s="2" t="s">
        <v>870</v>
      </c>
      <c r="D264" s="1">
        <v>862707.39</v>
      </c>
      <c r="E264" s="2" t="s">
        <v>272</v>
      </c>
      <c r="F264" s="1">
        <v>862307.39</v>
      </c>
      <c r="G264" s="1">
        <v>99.95</v>
      </c>
      <c r="H264" s="2" t="s">
        <v>30</v>
      </c>
      <c r="I264" s="2">
        <v>463.0</v>
      </c>
      <c r="J264" s="1" t="str">
        <f t="shared" si="1"/>
        <v>500k–1M</v>
      </c>
    </row>
    <row r="265">
      <c r="A265" s="2" t="s">
        <v>871</v>
      </c>
      <c r="B265" s="2" t="s">
        <v>872</v>
      </c>
      <c r="C265" s="2" t="s">
        <v>873</v>
      </c>
      <c r="D265" s="1">
        <v>858303.99</v>
      </c>
      <c r="E265" s="2" t="s">
        <v>156</v>
      </c>
      <c r="F265" s="1">
        <v>829499.83</v>
      </c>
      <c r="G265" s="1">
        <v>96.64</v>
      </c>
      <c r="H265" s="2" t="s">
        <v>30</v>
      </c>
      <c r="I265" s="2">
        <v>227.0</v>
      </c>
      <c r="J265" s="1" t="str">
        <f t="shared" si="1"/>
        <v>500k–1M</v>
      </c>
    </row>
    <row r="266">
      <c r="A266" s="2" t="s">
        <v>874</v>
      </c>
      <c r="B266" s="2" t="s">
        <v>875</v>
      </c>
      <c r="C266" s="2" t="s">
        <v>876</v>
      </c>
      <c r="D266" s="1">
        <v>858161.12</v>
      </c>
      <c r="E266" s="2" t="s">
        <v>156</v>
      </c>
      <c r="F266" s="1">
        <v>815907.92</v>
      </c>
      <c r="G266" s="1">
        <v>95.08</v>
      </c>
      <c r="H266" s="2" t="s">
        <v>877</v>
      </c>
      <c r="I266" s="2">
        <v>116.0</v>
      </c>
      <c r="J266" s="1" t="str">
        <f t="shared" si="1"/>
        <v>500k–1M</v>
      </c>
    </row>
    <row r="267">
      <c r="A267" s="2" t="s">
        <v>878</v>
      </c>
      <c r="B267" s="2" t="s">
        <v>879</v>
      </c>
      <c r="C267" s="2" t="s">
        <v>880</v>
      </c>
      <c r="D267" s="1">
        <v>857417.41</v>
      </c>
      <c r="E267" s="2" t="s">
        <v>95</v>
      </c>
      <c r="F267" s="1">
        <v>857417.41</v>
      </c>
      <c r="G267" s="1">
        <v>100.0</v>
      </c>
      <c r="H267" s="2" t="s">
        <v>47</v>
      </c>
      <c r="I267" s="2">
        <v>168.0</v>
      </c>
      <c r="J267" s="1" t="str">
        <f t="shared" si="1"/>
        <v>500k–1M</v>
      </c>
    </row>
    <row r="268">
      <c r="A268" s="2" t="s">
        <v>881</v>
      </c>
      <c r="B268" s="2" t="s">
        <v>882</v>
      </c>
      <c r="C268" s="2" t="s">
        <v>883</v>
      </c>
      <c r="D268" s="1">
        <v>856550.69</v>
      </c>
      <c r="E268" s="2" t="s">
        <v>708</v>
      </c>
      <c r="F268" s="1">
        <v>369500.0</v>
      </c>
      <c r="G268" s="1">
        <v>43.14</v>
      </c>
      <c r="H268" s="2" t="s">
        <v>30</v>
      </c>
      <c r="I268" s="2">
        <v>48.0</v>
      </c>
      <c r="J268" s="1" t="str">
        <f t="shared" si="1"/>
        <v>100k–500k</v>
      </c>
    </row>
    <row r="269">
      <c r="A269" s="2" t="s">
        <v>884</v>
      </c>
      <c r="B269" s="2" t="s">
        <v>885</v>
      </c>
      <c r="C269" s="2" t="s">
        <v>886</v>
      </c>
      <c r="D269" s="1">
        <v>853120.41</v>
      </c>
      <c r="E269" s="2" t="s">
        <v>13</v>
      </c>
      <c r="F269" s="1">
        <v>853120.41</v>
      </c>
      <c r="G269" s="1">
        <v>100.0</v>
      </c>
      <c r="H269" s="2" t="s">
        <v>887</v>
      </c>
      <c r="I269" s="2">
        <v>124.0</v>
      </c>
      <c r="J269" s="1" t="str">
        <f t="shared" si="1"/>
        <v>500k–1M</v>
      </c>
    </row>
    <row r="270">
      <c r="A270" s="2" t="s">
        <v>888</v>
      </c>
      <c r="B270" s="2" t="s">
        <v>889</v>
      </c>
      <c r="C270" s="2" t="s">
        <v>890</v>
      </c>
      <c r="D270" s="1">
        <v>851741.03</v>
      </c>
      <c r="E270" s="2" t="s">
        <v>156</v>
      </c>
      <c r="F270" s="1">
        <v>440491.03</v>
      </c>
      <c r="G270" s="1">
        <v>51.72</v>
      </c>
      <c r="H270" s="2" t="s">
        <v>18</v>
      </c>
      <c r="I270" s="2">
        <v>127.0</v>
      </c>
      <c r="J270" s="1" t="str">
        <f t="shared" si="1"/>
        <v>100k–500k</v>
      </c>
    </row>
    <row r="271">
      <c r="A271" s="2" t="s">
        <v>891</v>
      </c>
      <c r="B271" s="2" t="s">
        <v>892</v>
      </c>
      <c r="C271" s="2" t="s">
        <v>893</v>
      </c>
      <c r="D271" s="1">
        <v>851431.49</v>
      </c>
      <c r="E271" s="2" t="s">
        <v>894</v>
      </c>
      <c r="F271" s="1">
        <v>221625.0</v>
      </c>
      <c r="G271" s="1">
        <v>26.03</v>
      </c>
      <c r="H271" s="2" t="s">
        <v>527</v>
      </c>
      <c r="I271" s="2">
        <v>54.0</v>
      </c>
      <c r="J271" s="1" t="str">
        <f t="shared" si="1"/>
        <v>100k–500k</v>
      </c>
    </row>
    <row r="272">
      <c r="A272" s="2" t="s">
        <v>895</v>
      </c>
      <c r="B272" s="2" t="s">
        <v>896</v>
      </c>
      <c r="C272" s="2" t="s">
        <v>897</v>
      </c>
      <c r="D272" s="1">
        <v>850114.07</v>
      </c>
      <c r="E272" s="2" t="s">
        <v>257</v>
      </c>
      <c r="F272" s="1">
        <v>850114.07</v>
      </c>
      <c r="G272" s="1">
        <v>100.0</v>
      </c>
      <c r="H272" s="2" t="s">
        <v>73</v>
      </c>
      <c r="I272" s="2">
        <v>40.0</v>
      </c>
      <c r="J272" s="1" t="str">
        <f t="shared" si="1"/>
        <v>500k–1M</v>
      </c>
    </row>
    <row r="273">
      <c r="A273" s="2" t="s">
        <v>898</v>
      </c>
      <c r="B273" s="2" t="s">
        <v>899</v>
      </c>
      <c r="C273" s="2" t="s">
        <v>900</v>
      </c>
      <c r="D273" s="1">
        <v>844446.32</v>
      </c>
      <c r="E273" s="2" t="s">
        <v>13</v>
      </c>
      <c r="F273" s="1">
        <v>844446.32</v>
      </c>
      <c r="G273" s="1">
        <v>100.0</v>
      </c>
      <c r="H273" s="2" t="s">
        <v>182</v>
      </c>
      <c r="I273" s="2">
        <v>63.0</v>
      </c>
      <c r="J273" s="1" t="str">
        <f t="shared" si="1"/>
        <v>500k–1M</v>
      </c>
    </row>
    <row r="274">
      <c r="A274" s="2" t="s">
        <v>901</v>
      </c>
      <c r="B274" s="2" t="s">
        <v>902</v>
      </c>
      <c r="C274" s="2" t="s">
        <v>903</v>
      </c>
      <c r="D274" s="1">
        <v>842837.25</v>
      </c>
      <c r="E274" s="2" t="s">
        <v>568</v>
      </c>
      <c r="F274" s="1">
        <v>261250.0</v>
      </c>
      <c r="G274" s="1">
        <v>31.0</v>
      </c>
      <c r="H274" s="2" t="s">
        <v>136</v>
      </c>
      <c r="I274" s="2">
        <v>127.0</v>
      </c>
      <c r="J274" s="1" t="str">
        <f t="shared" si="1"/>
        <v>100k–500k</v>
      </c>
    </row>
    <row r="275">
      <c r="A275" s="2" t="s">
        <v>904</v>
      </c>
      <c r="B275" s="2" t="s">
        <v>905</v>
      </c>
      <c r="C275" s="2" t="s">
        <v>906</v>
      </c>
      <c r="D275" s="1">
        <v>840619.35</v>
      </c>
      <c r="E275" s="2" t="s">
        <v>13</v>
      </c>
      <c r="F275" s="1">
        <v>840619.35</v>
      </c>
      <c r="G275" s="1">
        <v>100.0</v>
      </c>
      <c r="H275" s="2" t="s">
        <v>182</v>
      </c>
      <c r="I275" s="2">
        <v>52.0</v>
      </c>
      <c r="J275" s="1" t="str">
        <f t="shared" si="1"/>
        <v>500k–1M</v>
      </c>
    </row>
    <row r="276">
      <c r="A276" s="2" t="s">
        <v>907</v>
      </c>
      <c r="B276" s="2" t="s">
        <v>908</v>
      </c>
      <c r="C276" s="2" t="s">
        <v>909</v>
      </c>
      <c r="D276" s="1">
        <v>838964.57</v>
      </c>
      <c r="E276" s="2" t="s">
        <v>235</v>
      </c>
      <c r="F276" s="1">
        <v>838964.57</v>
      </c>
      <c r="G276" s="1">
        <v>100.0</v>
      </c>
      <c r="H276" s="2" t="s">
        <v>73</v>
      </c>
      <c r="I276" s="2">
        <v>18.0</v>
      </c>
      <c r="J276" s="1" t="str">
        <f t="shared" si="1"/>
        <v>500k–1M</v>
      </c>
    </row>
    <row r="277">
      <c r="A277" s="2" t="s">
        <v>910</v>
      </c>
      <c r="B277" s="2" t="s">
        <v>911</v>
      </c>
      <c r="C277" s="2" t="s">
        <v>912</v>
      </c>
      <c r="D277" s="1">
        <v>834459.73</v>
      </c>
      <c r="E277" s="2" t="s">
        <v>272</v>
      </c>
      <c r="F277" s="1">
        <v>834459.73</v>
      </c>
      <c r="G277" s="1">
        <v>100.0</v>
      </c>
      <c r="H277" s="2" t="s">
        <v>913</v>
      </c>
      <c r="I277" s="2">
        <v>260.0</v>
      </c>
      <c r="J277" s="1" t="str">
        <f t="shared" si="1"/>
        <v>500k–1M</v>
      </c>
    </row>
    <row r="278">
      <c r="A278" s="2" t="s">
        <v>914</v>
      </c>
      <c r="B278" s="2" t="s">
        <v>915</v>
      </c>
      <c r="C278" s="2" t="s">
        <v>916</v>
      </c>
      <c r="D278" s="1">
        <v>830344.81</v>
      </c>
      <c r="E278" s="2" t="s">
        <v>95</v>
      </c>
      <c r="F278" s="1">
        <v>830344.81</v>
      </c>
      <c r="G278" s="1">
        <v>100.0</v>
      </c>
      <c r="H278" s="2" t="s">
        <v>420</v>
      </c>
      <c r="I278" s="2">
        <v>105.0</v>
      </c>
      <c r="J278" s="1" t="str">
        <f t="shared" si="1"/>
        <v>500k–1M</v>
      </c>
    </row>
    <row r="279">
      <c r="A279" s="2" t="s">
        <v>917</v>
      </c>
      <c r="B279" s="2" t="s">
        <v>918</v>
      </c>
      <c r="C279" s="2" t="s">
        <v>919</v>
      </c>
      <c r="D279" s="1">
        <v>829289.3</v>
      </c>
      <c r="E279" s="2" t="s">
        <v>13</v>
      </c>
      <c r="F279" s="1">
        <v>829289.3</v>
      </c>
      <c r="G279" s="1">
        <v>100.0</v>
      </c>
      <c r="H279" s="2" t="s">
        <v>920</v>
      </c>
      <c r="I279" s="2">
        <v>44.0</v>
      </c>
      <c r="J279" s="1" t="str">
        <f t="shared" si="1"/>
        <v>500k–1M</v>
      </c>
    </row>
    <row r="280">
      <c r="A280" s="2" t="s">
        <v>921</v>
      </c>
      <c r="B280" s="2" t="s">
        <v>922</v>
      </c>
      <c r="C280" s="2" t="s">
        <v>923</v>
      </c>
      <c r="D280" s="1">
        <v>828082.53</v>
      </c>
      <c r="E280" s="2" t="s">
        <v>13</v>
      </c>
      <c r="F280" s="1">
        <v>822488.56</v>
      </c>
      <c r="G280" s="1">
        <v>99.32</v>
      </c>
      <c r="H280" s="2" t="s">
        <v>34</v>
      </c>
      <c r="I280" s="2">
        <v>131.0</v>
      </c>
      <c r="J280" s="1" t="str">
        <f t="shared" si="1"/>
        <v>500k–1M</v>
      </c>
    </row>
    <row r="281">
      <c r="A281" s="2" t="s">
        <v>924</v>
      </c>
      <c r="B281" s="2" t="s">
        <v>925</v>
      </c>
      <c r="C281" s="2" t="s">
        <v>926</v>
      </c>
      <c r="D281" s="1">
        <v>823849.65</v>
      </c>
      <c r="E281" s="2" t="s">
        <v>13</v>
      </c>
      <c r="F281" s="1">
        <v>823849.65</v>
      </c>
      <c r="G281" s="1">
        <v>100.0</v>
      </c>
      <c r="H281" s="2" t="s">
        <v>258</v>
      </c>
      <c r="I281" s="2">
        <v>51.0</v>
      </c>
      <c r="J281" s="1" t="str">
        <f t="shared" si="1"/>
        <v>500k–1M</v>
      </c>
    </row>
    <row r="282">
      <c r="A282" s="2" t="s">
        <v>927</v>
      </c>
      <c r="B282" s="2" t="s">
        <v>928</v>
      </c>
      <c r="C282" s="2" t="s">
        <v>929</v>
      </c>
      <c r="D282" s="1">
        <v>822260.56</v>
      </c>
      <c r="E282" s="2" t="s">
        <v>650</v>
      </c>
      <c r="F282" s="1">
        <v>822260.56</v>
      </c>
      <c r="G282" s="1">
        <v>100.0</v>
      </c>
      <c r="H282" s="2" t="s">
        <v>26</v>
      </c>
      <c r="I282" s="2">
        <v>83.0</v>
      </c>
      <c r="J282" s="1" t="str">
        <f t="shared" si="1"/>
        <v>500k–1M</v>
      </c>
    </row>
    <row r="283">
      <c r="A283" s="2" t="s">
        <v>930</v>
      </c>
      <c r="B283" s="2" t="s">
        <v>931</v>
      </c>
      <c r="C283" s="2" t="s">
        <v>932</v>
      </c>
      <c r="D283" s="1">
        <v>814767.61</v>
      </c>
      <c r="E283" s="2" t="s">
        <v>319</v>
      </c>
      <c r="F283" s="1">
        <v>413650.0</v>
      </c>
      <c r="G283" s="1">
        <v>50.77</v>
      </c>
      <c r="H283" s="2" t="s">
        <v>22</v>
      </c>
      <c r="I283" s="2">
        <v>69.0</v>
      </c>
      <c r="J283" s="1" t="str">
        <f t="shared" si="1"/>
        <v>100k–500k</v>
      </c>
    </row>
    <row r="284">
      <c r="A284" s="2" t="s">
        <v>933</v>
      </c>
      <c r="B284" s="2" t="s">
        <v>934</v>
      </c>
      <c r="C284" s="2" t="s">
        <v>935</v>
      </c>
      <c r="D284" s="1">
        <v>814686.33</v>
      </c>
      <c r="E284" s="2" t="s">
        <v>235</v>
      </c>
      <c r="F284" s="1">
        <v>814686.33</v>
      </c>
      <c r="G284" s="1">
        <v>100.0</v>
      </c>
      <c r="H284" s="2" t="s">
        <v>73</v>
      </c>
      <c r="I284" s="2">
        <v>15.0</v>
      </c>
      <c r="J284" s="1" t="str">
        <f t="shared" si="1"/>
        <v>500k–1M</v>
      </c>
    </row>
    <row r="285">
      <c r="A285" s="2" t="s">
        <v>936</v>
      </c>
      <c r="B285" s="2" t="s">
        <v>937</v>
      </c>
      <c r="C285" s="2" t="s">
        <v>938</v>
      </c>
      <c r="D285" s="1">
        <v>813977.39</v>
      </c>
      <c r="E285" s="2" t="s">
        <v>95</v>
      </c>
      <c r="F285" s="1">
        <v>813977.39</v>
      </c>
      <c r="G285" s="1">
        <v>100.0</v>
      </c>
      <c r="H285" s="2" t="s">
        <v>136</v>
      </c>
      <c r="I285" s="2">
        <v>185.0</v>
      </c>
      <c r="J285" s="1" t="str">
        <f t="shared" si="1"/>
        <v>500k–1M</v>
      </c>
    </row>
    <row r="286">
      <c r="A286" s="2" t="s">
        <v>939</v>
      </c>
      <c r="B286" s="2" t="s">
        <v>940</v>
      </c>
      <c r="C286" s="2" t="s">
        <v>941</v>
      </c>
      <c r="D286" s="1">
        <v>812938.18</v>
      </c>
      <c r="E286" s="2" t="s">
        <v>156</v>
      </c>
      <c r="F286" s="1">
        <v>802535.95</v>
      </c>
      <c r="G286" s="1">
        <v>98.72</v>
      </c>
      <c r="H286" s="2" t="s">
        <v>126</v>
      </c>
      <c r="I286" s="2">
        <v>167.0</v>
      </c>
      <c r="J286" s="1" t="str">
        <f t="shared" si="1"/>
        <v>500k–1M</v>
      </c>
    </row>
    <row r="287">
      <c r="A287" s="2" t="s">
        <v>942</v>
      </c>
      <c r="B287" s="2" t="s">
        <v>943</v>
      </c>
      <c r="C287" s="2" t="s">
        <v>944</v>
      </c>
      <c r="D287" s="1">
        <v>811501.66</v>
      </c>
      <c r="E287" s="2" t="s">
        <v>319</v>
      </c>
      <c r="F287" s="1">
        <v>588650.0</v>
      </c>
      <c r="G287" s="1">
        <v>72.54</v>
      </c>
      <c r="H287" s="2" t="s">
        <v>22</v>
      </c>
      <c r="I287" s="2">
        <v>84.0</v>
      </c>
      <c r="J287" s="1" t="str">
        <f t="shared" si="1"/>
        <v>500k–1M</v>
      </c>
    </row>
    <row r="288">
      <c r="A288" s="2" t="s">
        <v>945</v>
      </c>
      <c r="B288" s="2" t="s">
        <v>946</v>
      </c>
      <c r="C288" s="2" t="s">
        <v>947</v>
      </c>
      <c r="D288" s="1">
        <v>810882.84</v>
      </c>
      <c r="E288" s="2" t="s">
        <v>257</v>
      </c>
      <c r="F288" s="1">
        <v>810882.84</v>
      </c>
      <c r="G288" s="1">
        <v>100.0</v>
      </c>
      <c r="H288" s="2" t="s">
        <v>258</v>
      </c>
      <c r="I288" s="2">
        <v>21.0</v>
      </c>
      <c r="J288" s="1" t="str">
        <f t="shared" si="1"/>
        <v>500k–1M</v>
      </c>
    </row>
    <row r="289">
      <c r="A289" s="2" t="s">
        <v>948</v>
      </c>
      <c r="B289" s="2" t="s">
        <v>949</v>
      </c>
      <c r="C289" s="2" t="s">
        <v>950</v>
      </c>
      <c r="D289" s="1">
        <v>809747.54</v>
      </c>
      <c r="E289" s="2" t="s">
        <v>951</v>
      </c>
      <c r="F289" s="1">
        <v>253343.6</v>
      </c>
      <c r="G289" s="1">
        <v>31.29</v>
      </c>
      <c r="H289" s="2" t="s">
        <v>96</v>
      </c>
      <c r="I289" s="2">
        <v>147.0</v>
      </c>
      <c r="J289" s="1" t="str">
        <f t="shared" si="1"/>
        <v>100k–500k</v>
      </c>
    </row>
    <row r="290">
      <c r="A290" s="2" t="s">
        <v>952</v>
      </c>
      <c r="B290" s="2" t="s">
        <v>953</v>
      </c>
      <c r="C290" s="2" t="s">
        <v>954</v>
      </c>
      <c r="D290" s="1">
        <v>807151.6</v>
      </c>
      <c r="E290" s="2" t="s">
        <v>13</v>
      </c>
      <c r="F290" s="1">
        <v>807151.6</v>
      </c>
      <c r="G290" s="1">
        <v>100.0</v>
      </c>
      <c r="H290" s="2" t="s">
        <v>22</v>
      </c>
      <c r="I290" s="2">
        <v>39.0</v>
      </c>
      <c r="J290" s="1" t="str">
        <f t="shared" si="1"/>
        <v>500k–1M</v>
      </c>
    </row>
    <row r="291">
      <c r="A291" s="2" t="s">
        <v>955</v>
      </c>
      <c r="B291" s="2" t="s">
        <v>956</v>
      </c>
      <c r="C291" s="2" t="s">
        <v>957</v>
      </c>
      <c r="D291" s="1">
        <v>801652.05</v>
      </c>
      <c r="E291" s="2" t="s">
        <v>695</v>
      </c>
      <c r="F291" s="1">
        <v>801652.05</v>
      </c>
      <c r="G291" s="1">
        <v>100.0</v>
      </c>
      <c r="H291" s="2" t="s">
        <v>96</v>
      </c>
      <c r="I291" s="2">
        <v>122.0</v>
      </c>
      <c r="J291" s="1" t="str">
        <f t="shared" si="1"/>
        <v>500k–1M</v>
      </c>
    </row>
    <row r="292">
      <c r="A292" s="2" t="s">
        <v>958</v>
      </c>
      <c r="B292" s="2" t="s">
        <v>959</v>
      </c>
      <c r="C292" s="2" t="s">
        <v>960</v>
      </c>
      <c r="D292" s="1">
        <v>800232.07</v>
      </c>
      <c r="E292" s="2" t="s">
        <v>13</v>
      </c>
      <c r="F292" s="1">
        <v>780046.75</v>
      </c>
      <c r="G292" s="1">
        <v>97.48</v>
      </c>
      <c r="H292" s="2" t="s">
        <v>73</v>
      </c>
      <c r="I292" s="2">
        <v>52.0</v>
      </c>
      <c r="J292" s="1" t="str">
        <f t="shared" si="1"/>
        <v>500k–1M</v>
      </c>
    </row>
    <row r="293">
      <c r="A293" s="2" t="s">
        <v>961</v>
      </c>
      <c r="B293" s="2" t="s">
        <v>962</v>
      </c>
      <c r="C293" s="2" t="s">
        <v>963</v>
      </c>
      <c r="D293" s="1">
        <v>799192.66</v>
      </c>
      <c r="E293" s="2" t="s">
        <v>272</v>
      </c>
      <c r="F293" s="1">
        <v>795694.96</v>
      </c>
      <c r="G293" s="1">
        <v>99.56</v>
      </c>
      <c r="H293" s="2" t="s">
        <v>258</v>
      </c>
      <c r="I293" s="2">
        <v>297.0</v>
      </c>
      <c r="J293" s="1" t="str">
        <f t="shared" si="1"/>
        <v>500k–1M</v>
      </c>
    </row>
    <row r="294">
      <c r="A294" s="2" t="s">
        <v>964</v>
      </c>
      <c r="B294" s="2" t="s">
        <v>965</v>
      </c>
      <c r="C294" s="2" t="s">
        <v>966</v>
      </c>
      <c r="D294" s="1">
        <v>797339.21</v>
      </c>
      <c r="E294" s="2" t="s">
        <v>156</v>
      </c>
      <c r="F294" s="1">
        <v>791539.21</v>
      </c>
      <c r="G294" s="1">
        <v>99.27</v>
      </c>
      <c r="H294" s="2" t="s">
        <v>96</v>
      </c>
      <c r="I294" s="2">
        <v>149.0</v>
      </c>
      <c r="J294" s="1" t="str">
        <f t="shared" si="1"/>
        <v>500k–1M</v>
      </c>
    </row>
    <row r="295">
      <c r="A295" s="2" t="s">
        <v>967</v>
      </c>
      <c r="B295" s="2" t="s">
        <v>968</v>
      </c>
      <c r="C295" s="2" t="s">
        <v>969</v>
      </c>
      <c r="D295" s="1">
        <v>793351.93</v>
      </c>
      <c r="E295" s="2" t="s">
        <v>257</v>
      </c>
      <c r="F295" s="1">
        <v>793351.93</v>
      </c>
      <c r="G295" s="1">
        <v>100.0</v>
      </c>
      <c r="H295" s="2" t="s">
        <v>258</v>
      </c>
      <c r="I295" s="2">
        <v>42.0</v>
      </c>
      <c r="J295" s="1" t="str">
        <f t="shared" si="1"/>
        <v>500k–1M</v>
      </c>
    </row>
    <row r="296">
      <c r="A296" s="2" t="s">
        <v>970</v>
      </c>
      <c r="B296" s="2" t="s">
        <v>971</v>
      </c>
      <c r="C296" s="2" t="s">
        <v>972</v>
      </c>
      <c r="D296" s="1">
        <v>792585.87</v>
      </c>
      <c r="E296" s="2" t="s">
        <v>156</v>
      </c>
      <c r="F296" s="1">
        <v>689568.7</v>
      </c>
      <c r="G296" s="1">
        <v>87.0</v>
      </c>
      <c r="H296" s="2" t="s">
        <v>34</v>
      </c>
      <c r="I296" s="2">
        <v>204.0</v>
      </c>
      <c r="J296" s="1" t="str">
        <f t="shared" si="1"/>
        <v>500k–1M</v>
      </c>
    </row>
    <row r="297">
      <c r="A297" s="2" t="s">
        <v>973</v>
      </c>
      <c r="B297" s="2" t="s">
        <v>974</v>
      </c>
      <c r="C297" s="2" t="s">
        <v>975</v>
      </c>
      <c r="D297" s="1">
        <v>792541.49</v>
      </c>
      <c r="E297" s="2" t="s">
        <v>976</v>
      </c>
      <c r="F297" s="1">
        <v>790685.2</v>
      </c>
      <c r="G297" s="1">
        <v>99.77</v>
      </c>
      <c r="H297" s="2" t="s">
        <v>30</v>
      </c>
      <c r="I297" s="2">
        <v>52.0</v>
      </c>
      <c r="J297" s="1" t="str">
        <f t="shared" si="1"/>
        <v>500k–1M</v>
      </c>
    </row>
    <row r="298">
      <c r="A298" s="2" t="s">
        <v>977</v>
      </c>
      <c r="B298" s="2" t="s">
        <v>978</v>
      </c>
      <c r="C298" s="2" t="s">
        <v>979</v>
      </c>
      <c r="D298" s="1">
        <v>792021.25</v>
      </c>
      <c r="E298" s="2" t="s">
        <v>680</v>
      </c>
      <c r="F298" s="1">
        <v>583850.0</v>
      </c>
      <c r="G298" s="1">
        <v>73.72</v>
      </c>
      <c r="H298" s="2" t="s">
        <v>96</v>
      </c>
      <c r="I298" s="2">
        <v>91.0</v>
      </c>
      <c r="J298" s="1" t="str">
        <f t="shared" si="1"/>
        <v>500k–1M</v>
      </c>
    </row>
    <row r="299">
      <c r="A299" s="2" t="s">
        <v>980</v>
      </c>
      <c r="B299" s="2" t="s">
        <v>981</v>
      </c>
      <c r="C299" s="2" t="s">
        <v>982</v>
      </c>
      <c r="D299" s="1">
        <v>791861.68</v>
      </c>
      <c r="E299" s="2" t="s">
        <v>95</v>
      </c>
      <c r="F299" s="1">
        <v>791861.68</v>
      </c>
      <c r="G299" s="1">
        <v>100.0</v>
      </c>
      <c r="H299" s="2" t="s">
        <v>96</v>
      </c>
      <c r="I299" s="2">
        <v>72.0</v>
      </c>
      <c r="J299" s="1" t="str">
        <f t="shared" si="1"/>
        <v>500k–1M</v>
      </c>
    </row>
    <row r="300">
      <c r="A300" s="2" t="s">
        <v>983</v>
      </c>
      <c r="B300" s="2" t="s">
        <v>984</v>
      </c>
      <c r="C300" s="2" t="s">
        <v>985</v>
      </c>
      <c r="D300" s="1">
        <v>791619.6</v>
      </c>
      <c r="E300" s="2" t="s">
        <v>319</v>
      </c>
      <c r="F300" s="1">
        <v>749350.0</v>
      </c>
      <c r="G300" s="1">
        <v>94.66</v>
      </c>
      <c r="H300" s="2" t="s">
        <v>22</v>
      </c>
      <c r="I300" s="2">
        <v>51.0</v>
      </c>
      <c r="J300" s="1" t="str">
        <f t="shared" si="1"/>
        <v>500k–1M</v>
      </c>
    </row>
    <row r="301">
      <c r="A301" s="2" t="s">
        <v>986</v>
      </c>
      <c r="B301" s="2" t="s">
        <v>987</v>
      </c>
      <c r="C301" s="2" t="s">
        <v>988</v>
      </c>
      <c r="D301" s="1">
        <v>790987.09</v>
      </c>
      <c r="E301" s="2" t="s">
        <v>989</v>
      </c>
      <c r="F301" s="1">
        <v>417632.37</v>
      </c>
      <c r="G301" s="1">
        <v>52.8</v>
      </c>
      <c r="H301" s="2" t="s">
        <v>14</v>
      </c>
      <c r="I301" s="2">
        <v>26.0</v>
      </c>
      <c r="J301" s="1" t="str">
        <f t="shared" si="1"/>
        <v>100k–500k</v>
      </c>
    </row>
    <row r="302">
      <c r="A302" s="2" t="s">
        <v>990</v>
      </c>
      <c r="B302" s="2" t="s">
        <v>991</v>
      </c>
      <c r="C302" s="2" t="s">
        <v>992</v>
      </c>
      <c r="D302" s="1">
        <v>788982.06</v>
      </c>
      <c r="E302" s="2" t="s">
        <v>235</v>
      </c>
      <c r="F302" s="1">
        <v>788982.06</v>
      </c>
      <c r="G302" s="1">
        <v>100.0</v>
      </c>
      <c r="H302" s="2" t="s">
        <v>73</v>
      </c>
      <c r="I302" s="2">
        <v>19.0</v>
      </c>
      <c r="J302" s="1" t="str">
        <f t="shared" si="1"/>
        <v>500k–1M</v>
      </c>
    </row>
    <row r="303">
      <c r="A303" s="2" t="s">
        <v>993</v>
      </c>
      <c r="B303" s="2" t="s">
        <v>994</v>
      </c>
      <c r="C303" s="2" t="s">
        <v>995</v>
      </c>
      <c r="D303" s="1">
        <v>787184.65</v>
      </c>
      <c r="E303" s="2" t="s">
        <v>13</v>
      </c>
      <c r="F303" s="1">
        <v>787184.65</v>
      </c>
      <c r="G303" s="1">
        <v>100.0</v>
      </c>
      <c r="H303" s="2" t="s">
        <v>73</v>
      </c>
      <c r="I303" s="2">
        <v>53.0</v>
      </c>
      <c r="J303" s="1" t="str">
        <f t="shared" si="1"/>
        <v>500k–1M</v>
      </c>
    </row>
    <row r="304">
      <c r="A304" s="2" t="s">
        <v>996</v>
      </c>
      <c r="B304" s="2" t="s">
        <v>997</v>
      </c>
      <c r="C304" s="2" t="s">
        <v>998</v>
      </c>
      <c r="D304" s="1">
        <v>782559.43</v>
      </c>
      <c r="E304" s="2" t="s">
        <v>999</v>
      </c>
      <c r="F304" s="1">
        <v>565029.52</v>
      </c>
      <c r="G304" s="1">
        <v>72.2</v>
      </c>
      <c r="H304" s="2" t="s">
        <v>258</v>
      </c>
      <c r="I304" s="2">
        <v>276.0</v>
      </c>
      <c r="J304" s="1" t="str">
        <f t="shared" si="1"/>
        <v>500k–1M</v>
      </c>
    </row>
    <row r="305">
      <c r="A305" s="2" t="s">
        <v>1000</v>
      </c>
      <c r="B305" s="2" t="s">
        <v>1001</v>
      </c>
      <c r="C305" s="2" t="s">
        <v>1002</v>
      </c>
      <c r="D305" s="1">
        <v>782465.36</v>
      </c>
      <c r="E305" s="2" t="s">
        <v>257</v>
      </c>
      <c r="F305" s="1">
        <v>782465.36</v>
      </c>
      <c r="G305" s="1">
        <v>100.0</v>
      </c>
      <c r="H305" s="2" t="s">
        <v>258</v>
      </c>
      <c r="I305" s="2">
        <v>43.0</v>
      </c>
      <c r="J305" s="1" t="str">
        <f t="shared" si="1"/>
        <v>500k–1M</v>
      </c>
    </row>
    <row r="306">
      <c r="A306" s="2" t="s">
        <v>1003</v>
      </c>
      <c r="B306" s="2" t="s">
        <v>1004</v>
      </c>
      <c r="C306" s="2" t="s">
        <v>1005</v>
      </c>
      <c r="D306" s="1">
        <v>770425.0</v>
      </c>
      <c r="E306" s="2" t="s">
        <v>95</v>
      </c>
      <c r="F306" s="1">
        <v>770425.0</v>
      </c>
      <c r="G306" s="1">
        <v>100.0</v>
      </c>
      <c r="H306" s="2" t="s">
        <v>96</v>
      </c>
      <c r="I306" s="2">
        <v>74.0</v>
      </c>
      <c r="J306" s="1" t="str">
        <f t="shared" si="1"/>
        <v>500k–1M</v>
      </c>
    </row>
    <row r="307">
      <c r="A307" s="2" t="s">
        <v>1006</v>
      </c>
      <c r="B307" s="2" t="s">
        <v>1007</v>
      </c>
      <c r="C307" s="2" t="s">
        <v>1008</v>
      </c>
      <c r="D307" s="1">
        <v>770327.22</v>
      </c>
      <c r="E307" s="2" t="s">
        <v>156</v>
      </c>
      <c r="F307" s="1">
        <v>607867.72</v>
      </c>
      <c r="G307" s="1">
        <v>78.91</v>
      </c>
      <c r="H307" s="2" t="s">
        <v>22</v>
      </c>
      <c r="I307" s="2">
        <v>130.0</v>
      </c>
      <c r="J307" s="1" t="str">
        <f t="shared" si="1"/>
        <v>500k–1M</v>
      </c>
    </row>
    <row r="308">
      <c r="A308" s="2" t="s">
        <v>1009</v>
      </c>
      <c r="B308" s="2" t="s">
        <v>1010</v>
      </c>
      <c r="C308" s="2" t="s">
        <v>1011</v>
      </c>
      <c r="D308" s="1">
        <v>767619.84</v>
      </c>
      <c r="E308" s="2" t="s">
        <v>257</v>
      </c>
      <c r="F308" s="1">
        <v>767619.84</v>
      </c>
      <c r="G308" s="1">
        <v>100.0</v>
      </c>
      <c r="H308" s="2" t="s">
        <v>14</v>
      </c>
      <c r="I308" s="2">
        <v>50.0</v>
      </c>
      <c r="J308" s="1" t="str">
        <f t="shared" si="1"/>
        <v>500k–1M</v>
      </c>
    </row>
    <row r="309">
      <c r="A309" s="2" t="s">
        <v>1012</v>
      </c>
      <c r="B309" s="2" t="s">
        <v>1013</v>
      </c>
      <c r="C309" s="2" t="s">
        <v>1014</v>
      </c>
      <c r="D309" s="1">
        <v>764790.92</v>
      </c>
      <c r="E309" s="2" t="s">
        <v>156</v>
      </c>
      <c r="F309" s="1">
        <v>540740.92</v>
      </c>
      <c r="G309" s="1">
        <v>70.7</v>
      </c>
      <c r="H309" s="2" t="s">
        <v>14</v>
      </c>
      <c r="I309" s="2">
        <v>112.0</v>
      </c>
      <c r="J309" s="1" t="str">
        <f t="shared" si="1"/>
        <v>500k–1M</v>
      </c>
    </row>
    <row r="310">
      <c r="A310" s="2" t="s">
        <v>1015</v>
      </c>
      <c r="B310" s="2" t="s">
        <v>1016</v>
      </c>
      <c r="C310" s="2" t="s">
        <v>1017</v>
      </c>
      <c r="D310" s="1">
        <v>763991.04</v>
      </c>
      <c r="E310" s="2" t="s">
        <v>156</v>
      </c>
      <c r="F310" s="1">
        <v>571133.78</v>
      </c>
      <c r="G310" s="1">
        <v>74.76</v>
      </c>
      <c r="H310" s="2" t="s">
        <v>77</v>
      </c>
      <c r="I310" s="2">
        <v>275.0</v>
      </c>
      <c r="J310" s="1" t="str">
        <f t="shared" si="1"/>
        <v>500k–1M</v>
      </c>
    </row>
    <row r="311">
      <c r="A311" s="2" t="s">
        <v>1018</v>
      </c>
      <c r="B311" s="2" t="s">
        <v>1019</v>
      </c>
      <c r="C311" s="2" t="s">
        <v>1020</v>
      </c>
      <c r="D311" s="1">
        <v>763833.33</v>
      </c>
      <c r="E311" s="2" t="s">
        <v>708</v>
      </c>
      <c r="F311" s="1">
        <v>370500.0</v>
      </c>
      <c r="G311" s="1">
        <v>48.51</v>
      </c>
      <c r="H311" s="2" t="s">
        <v>96</v>
      </c>
      <c r="I311" s="2">
        <v>49.0</v>
      </c>
      <c r="J311" s="1" t="str">
        <f t="shared" si="1"/>
        <v>100k–500k</v>
      </c>
    </row>
    <row r="312">
      <c r="A312" s="2" t="s">
        <v>1021</v>
      </c>
      <c r="B312" s="2" t="s">
        <v>1022</v>
      </c>
      <c r="C312" s="2" t="s">
        <v>1023</v>
      </c>
      <c r="D312" s="1">
        <v>762311.73</v>
      </c>
      <c r="E312" s="2" t="s">
        <v>156</v>
      </c>
      <c r="F312" s="1">
        <v>617331.01</v>
      </c>
      <c r="G312" s="1">
        <v>80.98</v>
      </c>
      <c r="H312" s="2" t="s">
        <v>91</v>
      </c>
      <c r="I312" s="2">
        <v>238.0</v>
      </c>
      <c r="J312" s="1" t="str">
        <f t="shared" si="1"/>
        <v>500k–1M</v>
      </c>
    </row>
    <row r="313">
      <c r="A313" s="2" t="s">
        <v>1024</v>
      </c>
      <c r="B313" s="2" t="s">
        <v>1025</v>
      </c>
      <c r="C313" s="2" t="s">
        <v>1026</v>
      </c>
      <c r="D313" s="1">
        <v>762025.84</v>
      </c>
      <c r="E313" s="2" t="s">
        <v>319</v>
      </c>
      <c r="F313" s="1">
        <v>399800.0</v>
      </c>
      <c r="G313" s="1">
        <v>52.47</v>
      </c>
      <c r="H313" s="2" t="s">
        <v>77</v>
      </c>
      <c r="I313" s="2">
        <v>117.0</v>
      </c>
      <c r="J313" s="1" t="str">
        <f t="shared" si="1"/>
        <v>100k–500k</v>
      </c>
    </row>
    <row r="314">
      <c r="A314" s="2" t="s">
        <v>1027</v>
      </c>
      <c r="B314" s="2" t="s">
        <v>1028</v>
      </c>
      <c r="C314" s="2" t="s">
        <v>1029</v>
      </c>
      <c r="D314" s="1">
        <v>760414.34</v>
      </c>
      <c r="E314" s="2" t="s">
        <v>387</v>
      </c>
      <c r="F314" s="1">
        <v>760414.34</v>
      </c>
      <c r="G314" s="1">
        <v>100.0</v>
      </c>
      <c r="H314" s="2" t="s">
        <v>73</v>
      </c>
      <c r="I314" s="2">
        <v>30.0</v>
      </c>
      <c r="J314" s="1" t="str">
        <f t="shared" si="1"/>
        <v>500k–1M</v>
      </c>
    </row>
    <row r="315">
      <c r="A315" s="2" t="s">
        <v>1030</v>
      </c>
      <c r="B315" s="2" t="s">
        <v>1031</v>
      </c>
      <c r="C315" s="2" t="s">
        <v>1032</v>
      </c>
      <c r="D315" s="1">
        <v>756907.63</v>
      </c>
      <c r="E315" s="2" t="s">
        <v>1033</v>
      </c>
      <c r="F315" s="1">
        <v>306001.33</v>
      </c>
      <c r="G315" s="1">
        <v>40.43</v>
      </c>
      <c r="H315" s="2" t="s">
        <v>47</v>
      </c>
      <c r="I315" s="2">
        <v>37.0</v>
      </c>
      <c r="J315" s="1" t="str">
        <f t="shared" si="1"/>
        <v>100k–500k</v>
      </c>
    </row>
    <row r="316">
      <c r="A316" s="2" t="s">
        <v>1034</v>
      </c>
      <c r="B316" s="2" t="s">
        <v>1035</v>
      </c>
      <c r="C316" s="2" t="s">
        <v>1036</v>
      </c>
      <c r="D316" s="1">
        <v>755193.13</v>
      </c>
      <c r="E316" s="2" t="s">
        <v>95</v>
      </c>
      <c r="F316" s="1">
        <v>755193.13</v>
      </c>
      <c r="G316" s="1">
        <v>100.0</v>
      </c>
      <c r="H316" s="2" t="s">
        <v>77</v>
      </c>
      <c r="I316" s="2">
        <v>152.0</v>
      </c>
      <c r="J316" s="1" t="str">
        <f t="shared" si="1"/>
        <v>500k–1M</v>
      </c>
    </row>
    <row r="317">
      <c r="A317" s="2" t="s">
        <v>1037</v>
      </c>
      <c r="B317" s="2" t="s">
        <v>1038</v>
      </c>
      <c r="C317" s="2" t="s">
        <v>1039</v>
      </c>
      <c r="D317" s="1">
        <v>748924.02</v>
      </c>
      <c r="E317" s="2" t="s">
        <v>156</v>
      </c>
      <c r="F317" s="1">
        <v>602678.3</v>
      </c>
      <c r="G317" s="1">
        <v>80.47</v>
      </c>
      <c r="H317" s="2" t="s">
        <v>91</v>
      </c>
      <c r="I317" s="2">
        <v>255.0</v>
      </c>
      <c r="J317" s="1" t="str">
        <f t="shared" si="1"/>
        <v>500k–1M</v>
      </c>
    </row>
    <row r="318">
      <c r="A318" s="2" t="s">
        <v>1040</v>
      </c>
      <c r="B318" s="2" t="s">
        <v>1041</v>
      </c>
      <c r="C318" s="2" t="s">
        <v>1042</v>
      </c>
      <c r="D318" s="1">
        <v>748529.03</v>
      </c>
      <c r="E318" s="2" t="s">
        <v>235</v>
      </c>
      <c r="F318" s="1">
        <v>748529.03</v>
      </c>
      <c r="G318" s="1">
        <v>100.0</v>
      </c>
      <c r="H318" s="2" t="s">
        <v>73</v>
      </c>
      <c r="I318" s="2">
        <v>17.0</v>
      </c>
      <c r="J318" s="1" t="str">
        <f t="shared" si="1"/>
        <v>500k–1M</v>
      </c>
    </row>
    <row r="319">
      <c r="A319" s="2" t="s">
        <v>1043</v>
      </c>
      <c r="B319" s="2" t="s">
        <v>1044</v>
      </c>
      <c r="C319" s="2" t="s">
        <v>1045</v>
      </c>
      <c r="D319" s="1">
        <v>748429.94</v>
      </c>
      <c r="E319" s="2" t="s">
        <v>225</v>
      </c>
      <c r="F319" s="1">
        <v>285000.0</v>
      </c>
      <c r="G319" s="1">
        <v>38.08</v>
      </c>
      <c r="H319" s="2" t="s">
        <v>427</v>
      </c>
      <c r="I319" s="2">
        <v>68.0</v>
      </c>
      <c r="J319" s="1" t="str">
        <f t="shared" si="1"/>
        <v>100k–500k</v>
      </c>
    </row>
    <row r="320">
      <c r="A320" s="2" t="s">
        <v>1046</v>
      </c>
      <c r="B320" s="2" t="s">
        <v>1047</v>
      </c>
      <c r="C320" s="2" t="s">
        <v>1048</v>
      </c>
      <c r="D320" s="1">
        <v>748209.82</v>
      </c>
      <c r="E320" s="2" t="s">
        <v>235</v>
      </c>
      <c r="F320" s="1">
        <v>748209.82</v>
      </c>
      <c r="G320" s="1">
        <v>100.0</v>
      </c>
      <c r="H320" s="2" t="s">
        <v>73</v>
      </c>
      <c r="I320" s="2">
        <v>12.0</v>
      </c>
      <c r="J320" s="1" t="str">
        <f t="shared" si="1"/>
        <v>500k–1M</v>
      </c>
    </row>
    <row r="321">
      <c r="A321" s="2" t="s">
        <v>1049</v>
      </c>
      <c r="B321" s="2" t="s">
        <v>1050</v>
      </c>
      <c r="C321" s="2" t="s">
        <v>1051</v>
      </c>
      <c r="D321" s="1">
        <v>746670.71</v>
      </c>
      <c r="E321" s="2" t="s">
        <v>235</v>
      </c>
      <c r="F321" s="1">
        <v>746670.71</v>
      </c>
      <c r="G321" s="1">
        <v>100.0</v>
      </c>
      <c r="H321" s="2" t="s">
        <v>73</v>
      </c>
      <c r="I321" s="2">
        <v>18.0</v>
      </c>
      <c r="J321" s="1" t="str">
        <f t="shared" si="1"/>
        <v>500k–1M</v>
      </c>
    </row>
    <row r="322">
      <c r="A322" s="2" t="s">
        <v>1052</v>
      </c>
      <c r="B322" s="2" t="s">
        <v>1053</v>
      </c>
      <c r="C322" s="2" t="s">
        <v>1054</v>
      </c>
      <c r="D322" s="1">
        <v>746091.36</v>
      </c>
      <c r="E322" s="2" t="s">
        <v>156</v>
      </c>
      <c r="F322" s="1">
        <v>737398.91</v>
      </c>
      <c r="G322" s="1">
        <v>98.83</v>
      </c>
      <c r="H322" s="2" t="s">
        <v>30</v>
      </c>
      <c r="I322" s="2">
        <v>178.0</v>
      </c>
      <c r="J322" s="1" t="str">
        <f t="shared" si="1"/>
        <v>500k–1M</v>
      </c>
    </row>
    <row r="323">
      <c r="A323" s="2" t="s">
        <v>1055</v>
      </c>
      <c r="B323" s="2" t="s">
        <v>1056</v>
      </c>
      <c r="C323" s="2" t="s">
        <v>1057</v>
      </c>
      <c r="D323" s="1">
        <v>742931.99</v>
      </c>
      <c r="E323" s="2" t="s">
        <v>156</v>
      </c>
      <c r="F323" s="1">
        <v>424131.99</v>
      </c>
      <c r="G323" s="1">
        <v>57.09</v>
      </c>
      <c r="H323" s="2" t="s">
        <v>126</v>
      </c>
      <c r="I323" s="2">
        <v>150.0</v>
      </c>
      <c r="J323" s="1" t="str">
        <f t="shared" si="1"/>
        <v>100k–500k</v>
      </c>
    </row>
    <row r="324">
      <c r="A324" s="2" t="s">
        <v>1058</v>
      </c>
      <c r="B324" s="2" t="s">
        <v>1059</v>
      </c>
      <c r="C324" s="2" t="s">
        <v>1060</v>
      </c>
      <c r="D324" s="1">
        <v>741565.84</v>
      </c>
      <c r="E324" s="2" t="s">
        <v>95</v>
      </c>
      <c r="F324" s="1">
        <v>741565.84</v>
      </c>
      <c r="G324" s="1">
        <v>100.0</v>
      </c>
      <c r="H324" s="2" t="s">
        <v>427</v>
      </c>
      <c r="I324" s="2">
        <v>117.0</v>
      </c>
      <c r="J324" s="1" t="str">
        <f t="shared" si="1"/>
        <v>500k–1M</v>
      </c>
    </row>
    <row r="325">
      <c r="A325" s="2" t="s">
        <v>1061</v>
      </c>
      <c r="B325" s="2" t="s">
        <v>1062</v>
      </c>
      <c r="C325" s="2" t="s">
        <v>1063</v>
      </c>
      <c r="D325" s="1">
        <v>741420.61</v>
      </c>
      <c r="E325" s="2" t="s">
        <v>235</v>
      </c>
      <c r="F325" s="1">
        <v>741420.61</v>
      </c>
      <c r="G325" s="1">
        <v>100.0</v>
      </c>
      <c r="H325" s="2" t="s">
        <v>73</v>
      </c>
      <c r="I325" s="2">
        <v>19.0</v>
      </c>
      <c r="J325" s="1" t="str">
        <f t="shared" si="1"/>
        <v>500k–1M</v>
      </c>
    </row>
    <row r="326">
      <c r="A326" s="2" t="s">
        <v>1064</v>
      </c>
      <c r="B326" s="2" t="s">
        <v>1065</v>
      </c>
      <c r="C326" s="2" t="s">
        <v>1066</v>
      </c>
      <c r="D326" s="1">
        <v>741416.26</v>
      </c>
      <c r="E326" s="2" t="s">
        <v>13</v>
      </c>
      <c r="F326" s="1">
        <v>714482.86</v>
      </c>
      <c r="G326" s="1">
        <v>96.37</v>
      </c>
      <c r="H326" s="2" t="s">
        <v>182</v>
      </c>
      <c r="I326" s="2">
        <v>67.0</v>
      </c>
      <c r="J326" s="1" t="str">
        <f t="shared" si="1"/>
        <v>500k–1M</v>
      </c>
    </row>
    <row r="327">
      <c r="A327" s="2" t="s">
        <v>1067</v>
      </c>
      <c r="B327" s="2" t="s">
        <v>1068</v>
      </c>
      <c r="C327" s="2" t="s">
        <v>1069</v>
      </c>
      <c r="D327" s="1">
        <v>739729.23</v>
      </c>
      <c r="E327" s="2" t="s">
        <v>95</v>
      </c>
      <c r="F327" s="1">
        <v>739729.23</v>
      </c>
      <c r="G327" s="1">
        <v>100.0</v>
      </c>
      <c r="H327" s="2" t="s">
        <v>427</v>
      </c>
      <c r="I327" s="2">
        <v>96.0</v>
      </c>
      <c r="J327" s="1" t="str">
        <f t="shared" si="1"/>
        <v>500k–1M</v>
      </c>
    </row>
    <row r="328">
      <c r="A328" s="2" t="s">
        <v>1070</v>
      </c>
      <c r="B328" s="2" t="s">
        <v>1071</v>
      </c>
      <c r="C328" s="2" t="s">
        <v>1072</v>
      </c>
      <c r="D328" s="1">
        <v>736547.36</v>
      </c>
      <c r="E328" s="2" t="s">
        <v>156</v>
      </c>
      <c r="F328" s="1">
        <v>617163.09</v>
      </c>
      <c r="G328" s="1">
        <v>83.79</v>
      </c>
      <c r="H328" s="2" t="s">
        <v>14</v>
      </c>
      <c r="I328" s="2">
        <v>111.0</v>
      </c>
      <c r="J328" s="1" t="str">
        <f t="shared" si="1"/>
        <v>500k–1M</v>
      </c>
    </row>
    <row r="329">
      <c r="A329" s="2" t="s">
        <v>1073</v>
      </c>
      <c r="B329" s="2" t="s">
        <v>1074</v>
      </c>
      <c r="C329" s="2" t="s">
        <v>1075</v>
      </c>
      <c r="D329" s="1">
        <v>736226.13</v>
      </c>
      <c r="E329" s="2" t="s">
        <v>387</v>
      </c>
      <c r="F329" s="1">
        <v>736226.13</v>
      </c>
      <c r="G329" s="1">
        <v>100.0</v>
      </c>
      <c r="H329" s="2" t="s">
        <v>73</v>
      </c>
      <c r="I329" s="2">
        <v>12.0</v>
      </c>
      <c r="J329" s="1" t="str">
        <f t="shared" si="1"/>
        <v>500k–1M</v>
      </c>
    </row>
    <row r="330">
      <c r="A330" s="2" t="s">
        <v>1076</v>
      </c>
      <c r="B330" s="2" t="s">
        <v>1077</v>
      </c>
      <c r="C330" s="2" t="s">
        <v>1078</v>
      </c>
      <c r="D330" s="1">
        <v>736131.79</v>
      </c>
      <c r="E330" s="2" t="s">
        <v>95</v>
      </c>
      <c r="F330" s="1">
        <v>736131.79</v>
      </c>
      <c r="G330" s="1">
        <v>100.0</v>
      </c>
      <c r="H330" s="2" t="s">
        <v>495</v>
      </c>
      <c r="I330" s="2">
        <v>118.0</v>
      </c>
      <c r="J330" s="1" t="str">
        <f t="shared" si="1"/>
        <v>500k–1M</v>
      </c>
    </row>
    <row r="331">
      <c r="A331" s="2" t="s">
        <v>1079</v>
      </c>
      <c r="B331" s="2" t="s">
        <v>1080</v>
      </c>
      <c r="C331" s="2" t="s">
        <v>1081</v>
      </c>
      <c r="D331" s="1">
        <v>735947.87</v>
      </c>
      <c r="E331" s="2" t="s">
        <v>13</v>
      </c>
      <c r="F331" s="1">
        <v>735947.87</v>
      </c>
      <c r="G331" s="1">
        <v>100.0</v>
      </c>
      <c r="H331" s="2" t="s">
        <v>1082</v>
      </c>
      <c r="I331" s="2">
        <v>63.0</v>
      </c>
      <c r="J331" s="1" t="str">
        <f t="shared" si="1"/>
        <v>500k–1M</v>
      </c>
    </row>
    <row r="332">
      <c r="A332" s="2" t="s">
        <v>1083</v>
      </c>
      <c r="B332" s="2" t="s">
        <v>1084</v>
      </c>
      <c r="C332" s="2" t="s">
        <v>1085</v>
      </c>
      <c r="D332" s="1">
        <v>734525.0</v>
      </c>
      <c r="E332" s="2" t="s">
        <v>708</v>
      </c>
      <c r="F332" s="1">
        <v>369500.0</v>
      </c>
      <c r="G332" s="1">
        <v>50.3</v>
      </c>
      <c r="H332" s="2" t="s">
        <v>96</v>
      </c>
      <c r="I332" s="2">
        <v>39.0</v>
      </c>
      <c r="J332" s="1" t="str">
        <f t="shared" si="1"/>
        <v>100k–500k</v>
      </c>
    </row>
    <row r="333">
      <c r="A333" s="2" t="s">
        <v>1086</v>
      </c>
      <c r="B333" s="2" t="s">
        <v>1087</v>
      </c>
      <c r="C333" s="2" t="s">
        <v>1088</v>
      </c>
      <c r="D333" s="1">
        <v>730227.57</v>
      </c>
      <c r="E333" s="2" t="s">
        <v>13</v>
      </c>
      <c r="F333" s="1">
        <v>730227.57</v>
      </c>
      <c r="G333" s="1">
        <v>100.0</v>
      </c>
      <c r="H333" s="2" t="s">
        <v>1089</v>
      </c>
      <c r="I333" s="2">
        <v>80.0</v>
      </c>
      <c r="J333" s="1" t="str">
        <f t="shared" si="1"/>
        <v>500k–1M</v>
      </c>
    </row>
    <row r="334">
      <c r="A334" s="2" t="s">
        <v>1090</v>
      </c>
      <c r="B334" s="2" t="s">
        <v>1091</v>
      </c>
      <c r="C334" s="2" t="s">
        <v>1092</v>
      </c>
      <c r="D334" s="1">
        <v>728500.0</v>
      </c>
      <c r="E334" s="2" t="s">
        <v>95</v>
      </c>
      <c r="F334" s="1">
        <v>728500.0</v>
      </c>
      <c r="G334" s="1">
        <v>100.0</v>
      </c>
      <c r="H334" s="2" t="s">
        <v>77</v>
      </c>
      <c r="I334" s="2">
        <v>49.0</v>
      </c>
      <c r="J334" s="1" t="str">
        <f t="shared" si="1"/>
        <v>500k–1M</v>
      </c>
    </row>
    <row r="335">
      <c r="A335" s="2" t="s">
        <v>1093</v>
      </c>
      <c r="B335" s="2" t="s">
        <v>1094</v>
      </c>
      <c r="C335" s="2" t="s">
        <v>1095</v>
      </c>
      <c r="D335" s="1">
        <v>728235.9</v>
      </c>
      <c r="E335" s="2" t="s">
        <v>13</v>
      </c>
      <c r="F335" s="1">
        <v>728235.9</v>
      </c>
      <c r="G335" s="1">
        <v>100.0</v>
      </c>
      <c r="H335" s="2" t="s">
        <v>73</v>
      </c>
      <c r="I335" s="2">
        <v>54.0</v>
      </c>
      <c r="J335" s="1" t="str">
        <f t="shared" si="1"/>
        <v>500k–1M</v>
      </c>
    </row>
    <row r="336">
      <c r="A336" s="2" t="s">
        <v>1096</v>
      </c>
      <c r="B336" s="2" t="s">
        <v>1097</v>
      </c>
      <c r="C336" s="2" t="s">
        <v>1098</v>
      </c>
      <c r="D336" s="1">
        <v>727444.42</v>
      </c>
      <c r="E336" s="2" t="s">
        <v>272</v>
      </c>
      <c r="F336" s="1">
        <v>700247.12</v>
      </c>
      <c r="G336" s="1">
        <v>96.26</v>
      </c>
      <c r="H336" s="2" t="s">
        <v>258</v>
      </c>
      <c r="I336" s="2">
        <v>177.0</v>
      </c>
      <c r="J336" s="1" t="str">
        <f t="shared" si="1"/>
        <v>500k–1M</v>
      </c>
    </row>
    <row r="337">
      <c r="A337" s="2" t="s">
        <v>1099</v>
      </c>
      <c r="B337" s="2" t="s">
        <v>1100</v>
      </c>
      <c r="C337" s="2" t="s">
        <v>1101</v>
      </c>
      <c r="D337" s="1">
        <v>724667.0</v>
      </c>
      <c r="E337" s="2" t="s">
        <v>235</v>
      </c>
      <c r="F337" s="1">
        <v>724667.0</v>
      </c>
      <c r="G337" s="1">
        <v>100.0</v>
      </c>
      <c r="H337" s="2" t="s">
        <v>73</v>
      </c>
      <c r="I337" s="2">
        <v>17.0</v>
      </c>
      <c r="J337" s="1" t="str">
        <f t="shared" si="1"/>
        <v>500k–1M</v>
      </c>
    </row>
    <row r="338">
      <c r="A338" s="2" t="s">
        <v>1102</v>
      </c>
      <c r="B338" s="2" t="s">
        <v>1103</v>
      </c>
      <c r="C338" s="2" t="s">
        <v>1104</v>
      </c>
      <c r="D338" s="1">
        <v>724097.02</v>
      </c>
      <c r="E338" s="2" t="s">
        <v>1105</v>
      </c>
      <c r="F338" s="1">
        <v>284500.0</v>
      </c>
      <c r="G338" s="1">
        <v>39.29</v>
      </c>
      <c r="H338" s="2" t="s">
        <v>1106</v>
      </c>
      <c r="I338" s="2">
        <v>38.0</v>
      </c>
      <c r="J338" s="1" t="str">
        <f t="shared" si="1"/>
        <v>100k–500k</v>
      </c>
    </row>
    <row r="339">
      <c r="A339" s="2" t="s">
        <v>1107</v>
      </c>
      <c r="B339" s="2" t="s">
        <v>1108</v>
      </c>
      <c r="C339" s="2" t="s">
        <v>1109</v>
      </c>
      <c r="D339" s="1">
        <v>723577.98</v>
      </c>
      <c r="E339" s="2" t="s">
        <v>13</v>
      </c>
      <c r="F339" s="1">
        <v>723577.98</v>
      </c>
      <c r="G339" s="1">
        <v>100.0</v>
      </c>
      <c r="H339" s="2" t="s">
        <v>96</v>
      </c>
      <c r="I339" s="2">
        <v>80.0</v>
      </c>
      <c r="J339" s="1" t="str">
        <f t="shared" si="1"/>
        <v>500k–1M</v>
      </c>
    </row>
    <row r="340">
      <c r="A340" s="2" t="s">
        <v>1110</v>
      </c>
      <c r="B340" s="2" t="s">
        <v>1111</v>
      </c>
      <c r="C340" s="2" t="s">
        <v>1112</v>
      </c>
      <c r="D340" s="1">
        <v>721868.24</v>
      </c>
      <c r="E340" s="2" t="s">
        <v>156</v>
      </c>
      <c r="F340" s="1">
        <v>616098.02</v>
      </c>
      <c r="G340" s="1">
        <v>85.35</v>
      </c>
      <c r="H340" s="2" t="s">
        <v>34</v>
      </c>
      <c r="I340" s="2">
        <v>216.0</v>
      </c>
      <c r="J340" s="1" t="str">
        <f t="shared" si="1"/>
        <v>500k–1M</v>
      </c>
    </row>
    <row r="341">
      <c r="A341" s="2" t="s">
        <v>1113</v>
      </c>
      <c r="B341" s="2" t="s">
        <v>1114</v>
      </c>
      <c r="C341" s="2" t="s">
        <v>1115</v>
      </c>
      <c r="D341" s="1">
        <v>721423.07</v>
      </c>
      <c r="E341" s="2" t="s">
        <v>13</v>
      </c>
      <c r="F341" s="1">
        <v>721423.07</v>
      </c>
      <c r="G341" s="1">
        <v>100.0</v>
      </c>
      <c r="H341" s="2" t="s">
        <v>1116</v>
      </c>
      <c r="I341" s="2">
        <v>76.0</v>
      </c>
      <c r="J341" s="1" t="str">
        <f t="shared" si="1"/>
        <v>500k–1M</v>
      </c>
    </row>
    <row r="342">
      <c r="A342" s="2" t="s">
        <v>1117</v>
      </c>
      <c r="B342" s="2" t="s">
        <v>1118</v>
      </c>
      <c r="C342" s="2" t="s">
        <v>1119</v>
      </c>
      <c r="D342" s="1">
        <v>720366.12</v>
      </c>
      <c r="E342" s="2" t="s">
        <v>509</v>
      </c>
      <c r="F342" s="1">
        <v>720366.12</v>
      </c>
      <c r="G342" s="1">
        <v>100.0</v>
      </c>
      <c r="H342" s="2" t="s">
        <v>73</v>
      </c>
      <c r="I342" s="2">
        <v>67.0</v>
      </c>
      <c r="J342" s="1" t="str">
        <f t="shared" si="1"/>
        <v>500k–1M</v>
      </c>
    </row>
    <row r="343">
      <c r="A343" s="2" t="s">
        <v>1120</v>
      </c>
      <c r="B343" s="2" t="s">
        <v>1121</v>
      </c>
      <c r="C343" s="2" t="s">
        <v>1122</v>
      </c>
      <c r="D343" s="1">
        <v>717764.82</v>
      </c>
      <c r="E343" s="2" t="s">
        <v>13</v>
      </c>
      <c r="F343" s="1">
        <v>717764.82</v>
      </c>
      <c r="G343" s="1">
        <v>100.0</v>
      </c>
      <c r="H343" s="2" t="s">
        <v>73</v>
      </c>
      <c r="I343" s="2">
        <v>54.0</v>
      </c>
      <c r="J343" s="1" t="str">
        <f t="shared" si="1"/>
        <v>500k–1M</v>
      </c>
    </row>
    <row r="344">
      <c r="A344" s="2" t="s">
        <v>1123</v>
      </c>
      <c r="B344" s="2" t="s">
        <v>1124</v>
      </c>
      <c r="C344" s="2" t="s">
        <v>1125</v>
      </c>
      <c r="D344" s="1">
        <v>714263.47</v>
      </c>
      <c r="E344" s="2" t="s">
        <v>319</v>
      </c>
      <c r="F344" s="1">
        <v>667775.0</v>
      </c>
      <c r="G344" s="1">
        <v>93.49</v>
      </c>
      <c r="H344" s="2" t="s">
        <v>34</v>
      </c>
      <c r="I344" s="2">
        <v>52.0</v>
      </c>
      <c r="J344" s="1" t="str">
        <f t="shared" si="1"/>
        <v>500k–1M</v>
      </c>
    </row>
    <row r="345">
      <c r="A345" s="2" t="s">
        <v>1126</v>
      </c>
      <c r="B345" s="2" t="s">
        <v>1127</v>
      </c>
      <c r="C345" s="2" t="s">
        <v>1128</v>
      </c>
      <c r="D345" s="1">
        <v>714188.81</v>
      </c>
      <c r="E345" s="2" t="s">
        <v>657</v>
      </c>
      <c r="F345" s="1">
        <v>231332.5</v>
      </c>
      <c r="G345" s="1">
        <v>32.39</v>
      </c>
      <c r="H345" s="2" t="s">
        <v>96</v>
      </c>
      <c r="I345" s="2">
        <v>97.0</v>
      </c>
      <c r="J345" s="1" t="str">
        <f t="shared" si="1"/>
        <v>100k–500k</v>
      </c>
    </row>
    <row r="346">
      <c r="A346" s="2" t="s">
        <v>1129</v>
      </c>
      <c r="B346" s="2" t="s">
        <v>1130</v>
      </c>
      <c r="C346" s="2" t="s">
        <v>1131</v>
      </c>
      <c r="D346" s="1">
        <v>711936.69</v>
      </c>
      <c r="E346" s="2" t="s">
        <v>1132</v>
      </c>
      <c r="F346" s="1">
        <v>460795.03</v>
      </c>
      <c r="G346" s="1">
        <v>64.72</v>
      </c>
      <c r="H346" s="2" t="s">
        <v>96</v>
      </c>
      <c r="I346" s="2">
        <v>188.0</v>
      </c>
      <c r="J346" s="1" t="str">
        <f t="shared" si="1"/>
        <v>100k–500k</v>
      </c>
    </row>
    <row r="347">
      <c r="A347" s="2" t="s">
        <v>1133</v>
      </c>
      <c r="B347" s="2" t="s">
        <v>1134</v>
      </c>
      <c r="C347" s="2" t="s">
        <v>1135</v>
      </c>
      <c r="D347" s="1">
        <v>708873.01</v>
      </c>
      <c r="E347" s="2" t="s">
        <v>156</v>
      </c>
      <c r="F347" s="1">
        <v>614848.01</v>
      </c>
      <c r="G347" s="1">
        <v>86.74</v>
      </c>
      <c r="H347" s="2" t="s">
        <v>14</v>
      </c>
      <c r="I347" s="2">
        <v>131.0</v>
      </c>
      <c r="J347" s="1" t="str">
        <f t="shared" si="1"/>
        <v>500k–1M</v>
      </c>
    </row>
    <row r="348">
      <c r="A348" s="2" t="s">
        <v>1136</v>
      </c>
      <c r="B348" s="2" t="s">
        <v>1137</v>
      </c>
      <c r="C348" s="2" t="s">
        <v>1138</v>
      </c>
      <c r="D348" s="1">
        <v>706851.43</v>
      </c>
      <c r="E348" s="2" t="s">
        <v>156</v>
      </c>
      <c r="F348" s="1">
        <v>660951.43</v>
      </c>
      <c r="G348" s="1">
        <v>93.51</v>
      </c>
      <c r="H348" s="2" t="s">
        <v>26</v>
      </c>
      <c r="I348" s="2">
        <v>127.0</v>
      </c>
      <c r="J348" s="1" t="str">
        <f t="shared" si="1"/>
        <v>500k–1M</v>
      </c>
    </row>
    <row r="349">
      <c r="A349" s="2" t="s">
        <v>1139</v>
      </c>
      <c r="B349" s="2" t="s">
        <v>1140</v>
      </c>
      <c r="C349" s="2" t="s">
        <v>1141</v>
      </c>
      <c r="D349" s="1">
        <v>705536.2</v>
      </c>
      <c r="E349" s="2" t="s">
        <v>13</v>
      </c>
      <c r="F349" s="1">
        <v>705536.2</v>
      </c>
      <c r="G349" s="1">
        <v>100.0</v>
      </c>
      <c r="H349" s="2" t="s">
        <v>73</v>
      </c>
      <c r="I349" s="2">
        <v>33.0</v>
      </c>
      <c r="J349" s="1" t="str">
        <f t="shared" si="1"/>
        <v>500k–1M</v>
      </c>
    </row>
    <row r="350">
      <c r="A350" s="2" t="s">
        <v>1142</v>
      </c>
      <c r="B350" s="2" t="s">
        <v>1143</v>
      </c>
      <c r="C350" s="2" t="s">
        <v>1144</v>
      </c>
      <c r="D350" s="1">
        <v>705260.74</v>
      </c>
      <c r="E350" s="2" t="s">
        <v>695</v>
      </c>
      <c r="F350" s="1">
        <v>705260.74</v>
      </c>
      <c r="G350" s="1">
        <v>100.0</v>
      </c>
      <c r="H350" s="2" t="s">
        <v>30</v>
      </c>
      <c r="I350" s="2">
        <v>95.0</v>
      </c>
      <c r="J350" s="1" t="str">
        <f t="shared" si="1"/>
        <v>500k–1M</v>
      </c>
    </row>
    <row r="351">
      <c r="A351" s="2" t="s">
        <v>1145</v>
      </c>
      <c r="B351" s="2" t="s">
        <v>1146</v>
      </c>
      <c r="C351" s="2" t="s">
        <v>1147</v>
      </c>
      <c r="D351" s="1">
        <v>705204.72</v>
      </c>
      <c r="E351" s="2" t="s">
        <v>13</v>
      </c>
      <c r="F351" s="1">
        <v>697159.25</v>
      </c>
      <c r="G351" s="1">
        <v>98.86</v>
      </c>
      <c r="H351" s="2" t="s">
        <v>77</v>
      </c>
      <c r="I351" s="2">
        <v>105.0</v>
      </c>
      <c r="J351" s="1" t="str">
        <f t="shared" si="1"/>
        <v>500k–1M</v>
      </c>
    </row>
    <row r="352">
      <c r="A352" s="2" t="s">
        <v>1148</v>
      </c>
      <c r="B352" s="2" t="s">
        <v>1149</v>
      </c>
      <c r="C352" s="2" t="s">
        <v>1150</v>
      </c>
      <c r="D352" s="1">
        <v>703435.17</v>
      </c>
      <c r="E352" s="2" t="s">
        <v>509</v>
      </c>
      <c r="F352" s="1">
        <v>703435.17</v>
      </c>
      <c r="G352" s="1">
        <v>100.0</v>
      </c>
      <c r="H352" s="2" t="s">
        <v>258</v>
      </c>
      <c r="I352" s="2">
        <v>44.0</v>
      </c>
      <c r="J352" s="1" t="str">
        <f t="shared" si="1"/>
        <v>500k–1M</v>
      </c>
    </row>
    <row r="353">
      <c r="A353" s="2" t="s">
        <v>1151</v>
      </c>
      <c r="B353" s="2" t="s">
        <v>1152</v>
      </c>
      <c r="C353" s="2" t="s">
        <v>1153</v>
      </c>
      <c r="D353" s="1">
        <v>702825.01</v>
      </c>
      <c r="E353" s="2" t="s">
        <v>95</v>
      </c>
      <c r="F353" s="1">
        <v>628400.0</v>
      </c>
      <c r="G353" s="1">
        <v>89.41</v>
      </c>
      <c r="H353" s="2" t="s">
        <v>96</v>
      </c>
      <c r="I353" s="2">
        <v>91.0</v>
      </c>
      <c r="J353" s="1" t="str">
        <f t="shared" si="1"/>
        <v>500k–1M</v>
      </c>
    </row>
    <row r="354">
      <c r="A354" s="2" t="s">
        <v>1154</v>
      </c>
      <c r="B354" s="2" t="s">
        <v>1155</v>
      </c>
      <c r="C354" s="2" t="s">
        <v>1156</v>
      </c>
      <c r="D354" s="1">
        <v>702342.5</v>
      </c>
      <c r="E354" s="2" t="s">
        <v>95</v>
      </c>
      <c r="F354" s="1">
        <v>702342.5</v>
      </c>
      <c r="G354" s="1">
        <v>100.0</v>
      </c>
      <c r="H354" s="2" t="s">
        <v>96</v>
      </c>
      <c r="I354" s="2">
        <v>55.0</v>
      </c>
      <c r="J354" s="1" t="str">
        <f t="shared" si="1"/>
        <v>500k–1M</v>
      </c>
    </row>
    <row r="355">
      <c r="A355" s="2" t="s">
        <v>1157</v>
      </c>
      <c r="B355" s="2" t="s">
        <v>1158</v>
      </c>
      <c r="C355" s="2" t="s">
        <v>1159</v>
      </c>
      <c r="D355" s="1">
        <v>701647.05</v>
      </c>
      <c r="E355" s="2" t="s">
        <v>156</v>
      </c>
      <c r="F355" s="1">
        <v>399880.38</v>
      </c>
      <c r="G355" s="1">
        <v>56.99</v>
      </c>
      <c r="H355" s="2" t="s">
        <v>96</v>
      </c>
      <c r="I355" s="2">
        <v>105.0</v>
      </c>
      <c r="J355" s="1" t="str">
        <f t="shared" si="1"/>
        <v>100k–500k</v>
      </c>
    </row>
    <row r="356">
      <c r="A356" s="2" t="s">
        <v>1160</v>
      </c>
      <c r="B356" s="2" t="s">
        <v>1161</v>
      </c>
      <c r="C356" s="2" t="s">
        <v>1162</v>
      </c>
      <c r="D356" s="1">
        <v>700820.76</v>
      </c>
      <c r="E356" s="2" t="s">
        <v>849</v>
      </c>
      <c r="F356" s="1">
        <v>460146.34</v>
      </c>
      <c r="G356" s="1">
        <v>65.66</v>
      </c>
      <c r="H356" s="2" t="s">
        <v>258</v>
      </c>
      <c r="I356" s="2">
        <v>113.0</v>
      </c>
      <c r="J356" s="1" t="str">
        <f t="shared" si="1"/>
        <v>100k–500k</v>
      </c>
    </row>
    <row r="357">
      <c r="A357" s="2" t="s">
        <v>1163</v>
      </c>
      <c r="B357" s="2" t="s">
        <v>1164</v>
      </c>
      <c r="C357" s="2" t="s">
        <v>1165</v>
      </c>
      <c r="D357" s="1">
        <v>699624.67</v>
      </c>
      <c r="E357" s="2" t="s">
        <v>95</v>
      </c>
      <c r="F357" s="1">
        <v>699624.67</v>
      </c>
      <c r="G357" s="1">
        <v>100.0</v>
      </c>
      <c r="H357" s="2" t="s">
        <v>96</v>
      </c>
      <c r="I357" s="2">
        <v>195.0</v>
      </c>
      <c r="J357" s="1" t="str">
        <f t="shared" si="1"/>
        <v>500k–1M</v>
      </c>
    </row>
    <row r="358">
      <c r="A358" s="2" t="s">
        <v>1166</v>
      </c>
      <c r="B358" s="2" t="s">
        <v>1167</v>
      </c>
      <c r="C358" s="2" t="s">
        <v>1168</v>
      </c>
      <c r="D358" s="1">
        <v>697650.0</v>
      </c>
      <c r="E358" s="2" t="s">
        <v>447</v>
      </c>
      <c r="F358" s="1">
        <v>421325.0</v>
      </c>
      <c r="G358" s="1">
        <v>60.39</v>
      </c>
      <c r="H358" s="2" t="s">
        <v>96</v>
      </c>
      <c r="I358" s="2">
        <v>64.0</v>
      </c>
      <c r="J358" s="1" t="str">
        <f t="shared" si="1"/>
        <v>100k–500k</v>
      </c>
    </row>
    <row r="359">
      <c r="A359" s="2" t="s">
        <v>1169</v>
      </c>
      <c r="B359" s="2" t="s">
        <v>1170</v>
      </c>
      <c r="C359" s="2" t="s">
        <v>1171</v>
      </c>
      <c r="D359" s="1">
        <v>696999.76</v>
      </c>
      <c r="E359" s="2" t="s">
        <v>156</v>
      </c>
      <c r="F359" s="1">
        <v>627296.95</v>
      </c>
      <c r="G359" s="1">
        <v>90.0</v>
      </c>
      <c r="H359" s="2" t="s">
        <v>22</v>
      </c>
      <c r="I359" s="2">
        <v>94.0</v>
      </c>
      <c r="J359" s="1" t="str">
        <f t="shared" si="1"/>
        <v>500k–1M</v>
      </c>
    </row>
    <row r="360">
      <c r="A360" s="2" t="s">
        <v>1172</v>
      </c>
      <c r="B360" s="2" t="s">
        <v>1173</v>
      </c>
      <c r="C360" s="2" t="s">
        <v>1174</v>
      </c>
      <c r="D360" s="1">
        <v>696912.63</v>
      </c>
      <c r="E360" s="2" t="s">
        <v>156</v>
      </c>
      <c r="F360" s="1">
        <v>556137.63</v>
      </c>
      <c r="G360" s="1">
        <v>79.8</v>
      </c>
      <c r="H360" s="2" t="s">
        <v>14</v>
      </c>
      <c r="I360" s="2">
        <v>101.0</v>
      </c>
      <c r="J360" s="1" t="str">
        <f t="shared" si="1"/>
        <v>500k–1M</v>
      </c>
    </row>
    <row r="361">
      <c r="A361" s="2" t="s">
        <v>1175</v>
      </c>
      <c r="B361" s="2" t="s">
        <v>1176</v>
      </c>
      <c r="C361" s="2" t="s">
        <v>1177</v>
      </c>
      <c r="D361" s="1">
        <v>696553.33</v>
      </c>
      <c r="E361" s="2" t="s">
        <v>363</v>
      </c>
      <c r="F361" s="1">
        <v>353500.0</v>
      </c>
      <c r="G361" s="1">
        <v>50.75</v>
      </c>
      <c r="H361" s="2" t="s">
        <v>136</v>
      </c>
      <c r="I361" s="2">
        <v>50.0</v>
      </c>
      <c r="J361" s="1" t="str">
        <f t="shared" si="1"/>
        <v>100k–500k</v>
      </c>
    </row>
    <row r="362">
      <c r="A362" s="2" t="s">
        <v>1178</v>
      </c>
      <c r="B362" s="2" t="s">
        <v>1179</v>
      </c>
      <c r="C362" s="2" t="s">
        <v>1180</v>
      </c>
      <c r="D362" s="1">
        <v>693089.36</v>
      </c>
      <c r="E362" s="2" t="s">
        <v>235</v>
      </c>
      <c r="F362" s="1">
        <v>693089.36</v>
      </c>
      <c r="G362" s="1">
        <v>100.0</v>
      </c>
      <c r="H362" s="2" t="s">
        <v>73</v>
      </c>
      <c r="I362" s="2">
        <v>4.0</v>
      </c>
      <c r="J362" s="1" t="str">
        <f t="shared" si="1"/>
        <v>500k–1M</v>
      </c>
    </row>
    <row r="363">
      <c r="A363" s="2" t="s">
        <v>1181</v>
      </c>
      <c r="B363" s="2" t="s">
        <v>1182</v>
      </c>
      <c r="C363" s="2" t="s">
        <v>1183</v>
      </c>
      <c r="D363" s="1">
        <v>692839.49</v>
      </c>
      <c r="E363" s="2" t="s">
        <v>257</v>
      </c>
      <c r="F363" s="1">
        <v>692839.49</v>
      </c>
      <c r="G363" s="1">
        <v>100.0</v>
      </c>
      <c r="H363" s="2" t="s">
        <v>258</v>
      </c>
      <c r="I363" s="2">
        <v>32.0</v>
      </c>
      <c r="J363" s="1" t="str">
        <f t="shared" si="1"/>
        <v>500k–1M</v>
      </c>
    </row>
    <row r="364">
      <c r="A364" s="2" t="s">
        <v>1184</v>
      </c>
      <c r="B364" s="2" t="s">
        <v>1185</v>
      </c>
      <c r="C364" s="2" t="s">
        <v>1186</v>
      </c>
      <c r="D364" s="1">
        <v>692327.42</v>
      </c>
      <c r="E364" s="2" t="s">
        <v>13</v>
      </c>
      <c r="F364" s="1">
        <v>692327.42</v>
      </c>
      <c r="G364" s="1">
        <v>100.0</v>
      </c>
      <c r="H364" s="2" t="s">
        <v>73</v>
      </c>
      <c r="I364" s="2">
        <v>25.0</v>
      </c>
      <c r="J364" s="1" t="str">
        <f t="shared" si="1"/>
        <v>500k–1M</v>
      </c>
    </row>
    <row r="365">
      <c r="A365" s="2" t="s">
        <v>1187</v>
      </c>
      <c r="B365" s="2" t="s">
        <v>1188</v>
      </c>
      <c r="C365" s="2" t="s">
        <v>1189</v>
      </c>
      <c r="D365" s="1">
        <v>690347.49</v>
      </c>
      <c r="E365" s="2" t="s">
        <v>272</v>
      </c>
      <c r="F365" s="1">
        <v>689371.7</v>
      </c>
      <c r="G365" s="1">
        <v>99.86</v>
      </c>
      <c r="H365" s="2" t="s">
        <v>258</v>
      </c>
      <c r="I365" s="2">
        <v>460.0</v>
      </c>
      <c r="J365" s="1" t="str">
        <f t="shared" si="1"/>
        <v>500k–1M</v>
      </c>
    </row>
    <row r="366">
      <c r="A366" s="2" t="s">
        <v>1190</v>
      </c>
      <c r="B366" s="2" t="s">
        <v>1191</v>
      </c>
      <c r="C366" s="2" t="s">
        <v>1192</v>
      </c>
      <c r="D366" s="1">
        <v>690082.59</v>
      </c>
      <c r="E366" s="2" t="s">
        <v>272</v>
      </c>
      <c r="F366" s="1">
        <v>690082.59</v>
      </c>
      <c r="G366" s="1">
        <v>100.0</v>
      </c>
      <c r="H366" s="2" t="s">
        <v>258</v>
      </c>
      <c r="I366" s="2">
        <v>497.0</v>
      </c>
      <c r="J366" s="1" t="str">
        <f t="shared" si="1"/>
        <v>500k–1M</v>
      </c>
    </row>
    <row r="367">
      <c r="A367" s="2" t="s">
        <v>1193</v>
      </c>
      <c r="B367" s="2" t="s">
        <v>1194</v>
      </c>
      <c r="C367" s="2" t="s">
        <v>1195</v>
      </c>
      <c r="D367" s="1">
        <v>689790.82</v>
      </c>
      <c r="E367" s="2" t="s">
        <v>387</v>
      </c>
      <c r="F367" s="1">
        <v>669790.82</v>
      </c>
      <c r="G367" s="1">
        <v>97.1</v>
      </c>
      <c r="H367" s="2" t="s">
        <v>73</v>
      </c>
      <c r="I367" s="2">
        <v>26.0</v>
      </c>
      <c r="J367" s="1" t="str">
        <f t="shared" si="1"/>
        <v>500k–1M</v>
      </c>
    </row>
    <row r="368">
      <c r="A368" s="2" t="s">
        <v>1196</v>
      </c>
      <c r="B368" s="2" t="s">
        <v>1197</v>
      </c>
      <c r="C368" s="2" t="s">
        <v>1198</v>
      </c>
      <c r="D368" s="1">
        <v>688016.28</v>
      </c>
      <c r="E368" s="2" t="s">
        <v>235</v>
      </c>
      <c r="F368" s="1">
        <v>688016.28</v>
      </c>
      <c r="G368" s="1">
        <v>100.0</v>
      </c>
      <c r="H368" s="2" t="s">
        <v>73</v>
      </c>
      <c r="I368" s="2">
        <v>15.0</v>
      </c>
      <c r="J368" s="1" t="str">
        <f t="shared" si="1"/>
        <v>500k–1M</v>
      </c>
    </row>
    <row r="369">
      <c r="A369" s="2" t="s">
        <v>1199</v>
      </c>
      <c r="B369" s="2" t="s">
        <v>1200</v>
      </c>
      <c r="C369" s="2" t="s">
        <v>1201</v>
      </c>
      <c r="D369" s="1">
        <v>687905.69</v>
      </c>
      <c r="E369" s="2" t="s">
        <v>13</v>
      </c>
      <c r="F369" s="1">
        <v>687905.69</v>
      </c>
      <c r="G369" s="1">
        <v>100.0</v>
      </c>
      <c r="H369" s="2" t="s">
        <v>624</v>
      </c>
      <c r="I369" s="2">
        <v>67.0</v>
      </c>
      <c r="J369" s="1" t="str">
        <f t="shared" si="1"/>
        <v>500k–1M</v>
      </c>
    </row>
    <row r="370">
      <c r="A370" s="2" t="s">
        <v>1202</v>
      </c>
      <c r="B370" s="2" t="s">
        <v>1203</v>
      </c>
      <c r="C370" s="2" t="s">
        <v>1204</v>
      </c>
      <c r="D370" s="1">
        <v>686649.73</v>
      </c>
      <c r="E370" s="2" t="s">
        <v>257</v>
      </c>
      <c r="F370" s="1">
        <v>686649.73</v>
      </c>
      <c r="G370" s="1">
        <v>100.0</v>
      </c>
      <c r="H370" s="2" t="s">
        <v>258</v>
      </c>
      <c r="I370" s="2">
        <v>48.0</v>
      </c>
      <c r="J370" s="1" t="str">
        <f t="shared" si="1"/>
        <v>500k–1M</v>
      </c>
    </row>
    <row r="371">
      <c r="A371" s="2" t="s">
        <v>1205</v>
      </c>
      <c r="B371" s="2" t="s">
        <v>1206</v>
      </c>
      <c r="C371" s="2" t="s">
        <v>1207</v>
      </c>
      <c r="D371" s="1">
        <v>686023.18</v>
      </c>
      <c r="E371" s="2" t="s">
        <v>235</v>
      </c>
      <c r="F371" s="1">
        <v>686023.18</v>
      </c>
      <c r="G371" s="1">
        <v>100.0</v>
      </c>
      <c r="H371" s="2" t="s">
        <v>73</v>
      </c>
      <c r="I371" s="2">
        <v>18.0</v>
      </c>
      <c r="J371" s="1" t="str">
        <f t="shared" si="1"/>
        <v>500k–1M</v>
      </c>
    </row>
    <row r="372">
      <c r="A372" s="2" t="s">
        <v>1208</v>
      </c>
      <c r="B372" s="2" t="s">
        <v>1209</v>
      </c>
      <c r="C372" s="2" t="s">
        <v>1210</v>
      </c>
      <c r="D372" s="1">
        <v>685937.0</v>
      </c>
      <c r="E372" s="2" t="s">
        <v>95</v>
      </c>
      <c r="F372" s="1">
        <v>685937.0</v>
      </c>
      <c r="G372" s="1">
        <v>100.0</v>
      </c>
      <c r="H372" s="2" t="s">
        <v>476</v>
      </c>
      <c r="I372" s="2">
        <v>102.0</v>
      </c>
      <c r="J372" s="1" t="str">
        <f t="shared" si="1"/>
        <v>500k–1M</v>
      </c>
    </row>
    <row r="373">
      <c r="A373" s="2" t="s">
        <v>1211</v>
      </c>
      <c r="B373" s="2" t="s">
        <v>1212</v>
      </c>
      <c r="C373" s="2" t="s">
        <v>1213</v>
      </c>
      <c r="D373" s="1">
        <v>684334.96</v>
      </c>
      <c r="E373" s="2" t="s">
        <v>235</v>
      </c>
      <c r="F373" s="1">
        <v>684334.96</v>
      </c>
      <c r="G373" s="1">
        <v>100.0</v>
      </c>
      <c r="H373" s="2" t="s">
        <v>73</v>
      </c>
      <c r="I373" s="2">
        <v>9.0</v>
      </c>
      <c r="J373" s="1" t="str">
        <f t="shared" si="1"/>
        <v>500k–1M</v>
      </c>
    </row>
    <row r="374">
      <c r="A374" s="2" t="s">
        <v>1214</v>
      </c>
      <c r="B374" s="2" t="s">
        <v>1215</v>
      </c>
      <c r="C374" s="2" t="s">
        <v>1216</v>
      </c>
      <c r="D374" s="1">
        <v>683050.0</v>
      </c>
      <c r="E374" s="2" t="s">
        <v>447</v>
      </c>
      <c r="F374" s="1">
        <v>422125.0</v>
      </c>
      <c r="G374" s="1">
        <v>61.8</v>
      </c>
      <c r="H374" s="2" t="s">
        <v>96</v>
      </c>
      <c r="I374" s="2">
        <v>59.0</v>
      </c>
      <c r="J374" s="1" t="str">
        <f t="shared" si="1"/>
        <v>100k–500k</v>
      </c>
    </row>
    <row r="375">
      <c r="A375" s="2" t="s">
        <v>1217</v>
      </c>
      <c r="B375" s="2" t="s">
        <v>1218</v>
      </c>
      <c r="C375" s="2" t="s">
        <v>1219</v>
      </c>
      <c r="D375" s="1">
        <v>682687.26</v>
      </c>
      <c r="E375" s="2" t="s">
        <v>272</v>
      </c>
      <c r="F375" s="1">
        <v>678860.92</v>
      </c>
      <c r="G375" s="1">
        <v>99.44</v>
      </c>
      <c r="H375" s="2" t="s">
        <v>258</v>
      </c>
      <c r="I375" s="2">
        <v>319.0</v>
      </c>
      <c r="J375" s="1" t="str">
        <f t="shared" si="1"/>
        <v>500k–1M</v>
      </c>
    </row>
    <row r="376">
      <c r="A376" s="2" t="s">
        <v>1220</v>
      </c>
      <c r="B376" s="2" t="s">
        <v>1221</v>
      </c>
      <c r="C376" s="2" t="s">
        <v>1222</v>
      </c>
      <c r="D376" s="1">
        <v>681112.54</v>
      </c>
      <c r="E376" s="2" t="s">
        <v>235</v>
      </c>
      <c r="F376" s="1">
        <v>681112.54</v>
      </c>
      <c r="G376" s="1">
        <v>100.0</v>
      </c>
      <c r="H376" s="2" t="s">
        <v>73</v>
      </c>
      <c r="I376" s="2">
        <v>15.0</v>
      </c>
      <c r="J376" s="1" t="str">
        <f t="shared" si="1"/>
        <v>500k–1M</v>
      </c>
    </row>
    <row r="377">
      <c r="A377" s="2" t="s">
        <v>1223</v>
      </c>
      <c r="B377" s="2" t="s">
        <v>1224</v>
      </c>
      <c r="C377" s="2" t="s">
        <v>1225</v>
      </c>
      <c r="D377" s="1">
        <v>680524.49</v>
      </c>
      <c r="E377" s="2" t="s">
        <v>13</v>
      </c>
      <c r="F377" s="1">
        <v>680524.49</v>
      </c>
      <c r="G377" s="1">
        <v>100.0</v>
      </c>
      <c r="H377" s="2" t="s">
        <v>73</v>
      </c>
      <c r="I377" s="2">
        <v>50.0</v>
      </c>
      <c r="J377" s="1" t="str">
        <f t="shared" si="1"/>
        <v>500k–1M</v>
      </c>
    </row>
    <row r="378">
      <c r="A378" s="2" t="s">
        <v>1226</v>
      </c>
      <c r="B378" s="2" t="s">
        <v>1227</v>
      </c>
      <c r="C378" s="2" t="s">
        <v>1228</v>
      </c>
      <c r="D378" s="1">
        <v>677986.71</v>
      </c>
      <c r="E378" s="2" t="s">
        <v>695</v>
      </c>
      <c r="F378" s="1">
        <v>677986.71</v>
      </c>
      <c r="G378" s="1">
        <v>100.0</v>
      </c>
      <c r="H378" s="2" t="s">
        <v>96</v>
      </c>
      <c r="I378" s="2">
        <v>128.0</v>
      </c>
      <c r="J378" s="1" t="str">
        <f t="shared" si="1"/>
        <v>500k–1M</v>
      </c>
    </row>
    <row r="379">
      <c r="A379" s="2" t="s">
        <v>1229</v>
      </c>
      <c r="B379" s="2" t="s">
        <v>1230</v>
      </c>
      <c r="C379" s="2" t="s">
        <v>1231</v>
      </c>
      <c r="D379" s="1">
        <v>677630.08</v>
      </c>
      <c r="E379" s="2" t="s">
        <v>13</v>
      </c>
      <c r="F379" s="1">
        <v>677630.08</v>
      </c>
      <c r="G379" s="1">
        <v>100.0</v>
      </c>
      <c r="H379" s="2" t="s">
        <v>77</v>
      </c>
      <c r="I379" s="2">
        <v>86.0</v>
      </c>
      <c r="J379" s="1" t="str">
        <f t="shared" si="1"/>
        <v>500k–1M</v>
      </c>
    </row>
    <row r="380">
      <c r="A380" s="2" t="s">
        <v>1232</v>
      </c>
      <c r="B380" s="2" t="s">
        <v>1233</v>
      </c>
      <c r="C380" s="2" t="s">
        <v>1234</v>
      </c>
      <c r="D380" s="1">
        <v>677281.37</v>
      </c>
      <c r="E380" s="2" t="s">
        <v>235</v>
      </c>
      <c r="F380" s="1">
        <v>677281.37</v>
      </c>
      <c r="G380" s="1">
        <v>100.0</v>
      </c>
      <c r="H380" s="2" t="s">
        <v>73</v>
      </c>
      <c r="I380" s="2">
        <v>16.0</v>
      </c>
      <c r="J380" s="1" t="str">
        <f t="shared" si="1"/>
        <v>500k–1M</v>
      </c>
    </row>
    <row r="381">
      <c r="A381" s="2" t="s">
        <v>1235</v>
      </c>
      <c r="B381" s="2" t="s">
        <v>1236</v>
      </c>
      <c r="C381" s="2" t="s">
        <v>1237</v>
      </c>
      <c r="D381" s="1">
        <v>676528.1</v>
      </c>
      <c r="E381" s="2" t="s">
        <v>748</v>
      </c>
      <c r="F381" s="1">
        <v>676528.1</v>
      </c>
      <c r="G381" s="1">
        <v>100.0</v>
      </c>
      <c r="H381" s="2" t="s">
        <v>73</v>
      </c>
      <c r="I381" s="2">
        <v>60.0</v>
      </c>
      <c r="J381" s="1" t="str">
        <f t="shared" si="1"/>
        <v>500k–1M</v>
      </c>
    </row>
    <row r="382">
      <c r="A382" s="2" t="s">
        <v>1238</v>
      </c>
      <c r="B382" s="2" t="s">
        <v>1239</v>
      </c>
      <c r="C382" s="2" t="s">
        <v>1240</v>
      </c>
      <c r="D382" s="1">
        <v>676467.77</v>
      </c>
      <c r="E382" s="2" t="s">
        <v>509</v>
      </c>
      <c r="F382" s="1">
        <v>671953.09</v>
      </c>
      <c r="G382" s="1">
        <v>99.33</v>
      </c>
      <c r="H382" s="2" t="s">
        <v>22</v>
      </c>
      <c r="I382" s="2">
        <v>46.0</v>
      </c>
      <c r="J382" s="1" t="str">
        <f t="shared" si="1"/>
        <v>500k–1M</v>
      </c>
    </row>
    <row r="383">
      <c r="A383" s="2" t="s">
        <v>1241</v>
      </c>
      <c r="B383" s="2" t="s">
        <v>1242</v>
      </c>
      <c r="C383" s="2" t="s">
        <v>1243</v>
      </c>
      <c r="D383" s="1">
        <v>672494.8</v>
      </c>
      <c r="E383" s="2" t="s">
        <v>894</v>
      </c>
      <c r="F383" s="1">
        <v>271125.0</v>
      </c>
      <c r="G383" s="1">
        <v>40.32</v>
      </c>
      <c r="H383" s="2" t="s">
        <v>427</v>
      </c>
      <c r="I383" s="2">
        <v>57.0</v>
      </c>
      <c r="J383" s="1" t="str">
        <f t="shared" si="1"/>
        <v>100k–500k</v>
      </c>
    </row>
    <row r="384">
      <c r="A384" s="2" t="s">
        <v>1244</v>
      </c>
      <c r="B384" s="2" t="s">
        <v>1245</v>
      </c>
      <c r="C384" s="2" t="s">
        <v>1246</v>
      </c>
      <c r="D384" s="1">
        <v>671650.0</v>
      </c>
      <c r="E384" s="2" t="s">
        <v>225</v>
      </c>
      <c r="F384" s="1">
        <v>286250.0</v>
      </c>
      <c r="G384" s="1">
        <v>42.62</v>
      </c>
      <c r="H384" s="2" t="s">
        <v>427</v>
      </c>
      <c r="I384" s="2">
        <v>47.0</v>
      </c>
      <c r="J384" s="1" t="str">
        <f t="shared" si="1"/>
        <v>100k–500k</v>
      </c>
    </row>
    <row r="385">
      <c r="A385" s="2" t="s">
        <v>1247</v>
      </c>
      <c r="B385" s="2" t="s">
        <v>1248</v>
      </c>
      <c r="C385" s="2" t="s">
        <v>1249</v>
      </c>
      <c r="D385" s="1">
        <v>669945.0</v>
      </c>
      <c r="E385" s="2" t="s">
        <v>272</v>
      </c>
      <c r="F385" s="1">
        <v>669030.37</v>
      </c>
      <c r="G385" s="1">
        <v>99.86</v>
      </c>
      <c r="H385" s="2" t="s">
        <v>258</v>
      </c>
      <c r="I385" s="2">
        <v>753.0</v>
      </c>
      <c r="J385" s="1" t="str">
        <f t="shared" si="1"/>
        <v>500k–1M</v>
      </c>
    </row>
    <row r="386">
      <c r="A386" s="2" t="s">
        <v>1250</v>
      </c>
      <c r="B386" s="2" t="s">
        <v>1251</v>
      </c>
      <c r="C386" s="2" t="s">
        <v>1252</v>
      </c>
      <c r="D386" s="1">
        <v>669061.73</v>
      </c>
      <c r="E386" s="2" t="s">
        <v>156</v>
      </c>
      <c r="F386" s="1">
        <v>608833.92</v>
      </c>
      <c r="G386" s="1">
        <v>91.0</v>
      </c>
      <c r="H386" s="2" t="s">
        <v>22</v>
      </c>
      <c r="I386" s="2">
        <v>89.0</v>
      </c>
      <c r="J386" s="1" t="str">
        <f t="shared" si="1"/>
        <v>500k–1M</v>
      </c>
    </row>
    <row r="387">
      <c r="A387" s="2" t="s">
        <v>1253</v>
      </c>
      <c r="B387" s="2" t="s">
        <v>1254</v>
      </c>
      <c r="C387" s="2" t="s">
        <v>1255</v>
      </c>
      <c r="D387" s="1">
        <v>668434.36</v>
      </c>
      <c r="E387" s="2" t="s">
        <v>999</v>
      </c>
      <c r="F387" s="1">
        <v>470667.05</v>
      </c>
      <c r="G387" s="1">
        <v>70.41</v>
      </c>
      <c r="H387" s="2" t="s">
        <v>258</v>
      </c>
      <c r="I387" s="2">
        <v>275.0</v>
      </c>
      <c r="J387" s="1" t="str">
        <f t="shared" si="1"/>
        <v>100k–500k</v>
      </c>
    </row>
    <row r="388">
      <c r="A388" s="2" t="s">
        <v>1256</v>
      </c>
      <c r="B388" s="2" t="s">
        <v>1257</v>
      </c>
      <c r="C388" s="2" t="s">
        <v>1258</v>
      </c>
      <c r="D388" s="1">
        <v>665449.84</v>
      </c>
      <c r="E388" s="2" t="s">
        <v>272</v>
      </c>
      <c r="F388" s="1">
        <v>664999.39</v>
      </c>
      <c r="G388" s="1">
        <v>99.93</v>
      </c>
      <c r="H388" s="2" t="s">
        <v>258</v>
      </c>
      <c r="I388" s="2">
        <v>105.0</v>
      </c>
      <c r="J388" s="1" t="str">
        <f t="shared" si="1"/>
        <v>500k–1M</v>
      </c>
    </row>
    <row r="389">
      <c r="A389" s="2" t="s">
        <v>1259</v>
      </c>
      <c r="B389" s="2" t="s">
        <v>1260</v>
      </c>
      <c r="C389" s="2" t="s">
        <v>1261</v>
      </c>
      <c r="D389" s="1">
        <v>665059.65</v>
      </c>
      <c r="E389" s="2" t="s">
        <v>650</v>
      </c>
      <c r="F389" s="1">
        <v>663709.65</v>
      </c>
      <c r="G389" s="1">
        <v>99.8</v>
      </c>
      <c r="H389" s="2" t="s">
        <v>96</v>
      </c>
      <c r="I389" s="2">
        <v>104.0</v>
      </c>
      <c r="J389" s="1" t="str">
        <f t="shared" si="1"/>
        <v>500k–1M</v>
      </c>
    </row>
    <row r="390">
      <c r="A390" s="2" t="s">
        <v>1262</v>
      </c>
      <c r="B390" s="2" t="s">
        <v>1263</v>
      </c>
      <c r="C390" s="2" t="s">
        <v>1264</v>
      </c>
      <c r="D390" s="1">
        <v>664776.39</v>
      </c>
      <c r="E390" s="2" t="s">
        <v>95</v>
      </c>
      <c r="F390" s="1">
        <v>664776.39</v>
      </c>
      <c r="G390" s="1">
        <v>100.0</v>
      </c>
      <c r="H390" s="2" t="s">
        <v>96</v>
      </c>
      <c r="I390" s="2">
        <v>86.0</v>
      </c>
      <c r="J390" s="1" t="str">
        <f t="shared" si="1"/>
        <v>500k–1M</v>
      </c>
    </row>
    <row r="391">
      <c r="A391" s="2" t="s">
        <v>1265</v>
      </c>
      <c r="B391" s="2" t="s">
        <v>1266</v>
      </c>
      <c r="C391" s="2" t="s">
        <v>1267</v>
      </c>
      <c r="D391" s="1">
        <v>664528.8</v>
      </c>
      <c r="E391" s="2" t="s">
        <v>257</v>
      </c>
      <c r="F391" s="1">
        <v>664528.8</v>
      </c>
      <c r="G391" s="1">
        <v>100.0</v>
      </c>
      <c r="H391" s="2" t="s">
        <v>258</v>
      </c>
      <c r="I391" s="2">
        <v>33.0</v>
      </c>
      <c r="J391" s="1" t="str">
        <f t="shared" si="1"/>
        <v>500k–1M</v>
      </c>
    </row>
    <row r="392">
      <c r="A392" s="2" t="s">
        <v>1268</v>
      </c>
      <c r="B392" s="2" t="s">
        <v>1269</v>
      </c>
      <c r="C392" s="2" t="s">
        <v>1270</v>
      </c>
      <c r="D392" s="1">
        <v>664125.67</v>
      </c>
      <c r="E392" s="2" t="s">
        <v>976</v>
      </c>
      <c r="F392" s="1">
        <v>664125.67</v>
      </c>
      <c r="G392" s="1">
        <v>100.0</v>
      </c>
      <c r="H392" s="2" t="s">
        <v>30</v>
      </c>
      <c r="I392" s="2">
        <v>53.0</v>
      </c>
      <c r="J392" s="1" t="str">
        <f t="shared" si="1"/>
        <v>500k–1M</v>
      </c>
    </row>
    <row r="393">
      <c r="A393" s="2" t="s">
        <v>1271</v>
      </c>
      <c r="B393" s="2" t="s">
        <v>1272</v>
      </c>
      <c r="C393" s="2" t="s">
        <v>1273</v>
      </c>
      <c r="D393" s="1">
        <v>663158.09</v>
      </c>
      <c r="E393" s="2" t="s">
        <v>13</v>
      </c>
      <c r="F393" s="1">
        <v>661771.48</v>
      </c>
      <c r="G393" s="1">
        <v>99.79</v>
      </c>
      <c r="H393" s="2" t="s">
        <v>34</v>
      </c>
      <c r="I393" s="2">
        <v>80.0</v>
      </c>
      <c r="J393" s="1" t="str">
        <f t="shared" si="1"/>
        <v>500k–1M</v>
      </c>
    </row>
    <row r="394">
      <c r="A394" s="2" t="s">
        <v>1274</v>
      </c>
      <c r="B394" s="2" t="s">
        <v>1275</v>
      </c>
      <c r="C394" s="2" t="s">
        <v>1276</v>
      </c>
      <c r="D394" s="1">
        <v>661936.39</v>
      </c>
      <c r="E394" s="2" t="s">
        <v>257</v>
      </c>
      <c r="F394" s="1">
        <v>661936.39</v>
      </c>
      <c r="G394" s="1">
        <v>100.0</v>
      </c>
      <c r="H394" s="2" t="s">
        <v>73</v>
      </c>
      <c r="I394" s="2">
        <v>27.0</v>
      </c>
      <c r="J394" s="1" t="str">
        <f t="shared" si="1"/>
        <v>500k–1M</v>
      </c>
    </row>
    <row r="395">
      <c r="A395" s="2" t="s">
        <v>1277</v>
      </c>
      <c r="B395" s="2" t="s">
        <v>1278</v>
      </c>
      <c r="C395" s="2" t="s">
        <v>1279</v>
      </c>
      <c r="D395" s="1">
        <v>661496.32</v>
      </c>
      <c r="E395" s="2" t="s">
        <v>387</v>
      </c>
      <c r="F395" s="1">
        <v>655496.32</v>
      </c>
      <c r="G395" s="1">
        <v>99.09</v>
      </c>
      <c r="H395" s="2" t="s">
        <v>73</v>
      </c>
      <c r="I395" s="2">
        <v>26.0</v>
      </c>
      <c r="J395" s="1" t="str">
        <f t="shared" si="1"/>
        <v>500k–1M</v>
      </c>
    </row>
    <row r="396">
      <c r="A396" s="2" t="s">
        <v>1280</v>
      </c>
      <c r="B396" s="2" t="s">
        <v>1281</v>
      </c>
      <c r="C396" s="2" t="s">
        <v>1282</v>
      </c>
      <c r="D396" s="1">
        <v>661424.35</v>
      </c>
      <c r="E396" s="2" t="s">
        <v>695</v>
      </c>
      <c r="F396" s="1">
        <v>661424.35</v>
      </c>
      <c r="G396" s="1">
        <v>100.0</v>
      </c>
      <c r="H396" s="2" t="s">
        <v>96</v>
      </c>
      <c r="I396" s="2">
        <v>97.0</v>
      </c>
      <c r="J396" s="1" t="str">
        <f t="shared" si="1"/>
        <v>500k–1M</v>
      </c>
    </row>
    <row r="397">
      <c r="A397" s="2" t="s">
        <v>1283</v>
      </c>
      <c r="B397" s="2" t="s">
        <v>1284</v>
      </c>
      <c r="C397" s="2" t="s">
        <v>1285</v>
      </c>
      <c r="D397" s="1">
        <v>658509.19</v>
      </c>
      <c r="E397" s="2" t="s">
        <v>509</v>
      </c>
      <c r="F397" s="1">
        <v>658509.19</v>
      </c>
      <c r="G397" s="1">
        <v>100.0</v>
      </c>
      <c r="H397" s="2" t="s">
        <v>96</v>
      </c>
      <c r="I397" s="2">
        <v>58.0</v>
      </c>
      <c r="J397" s="1" t="str">
        <f t="shared" si="1"/>
        <v>500k–1M</v>
      </c>
    </row>
    <row r="398">
      <c r="A398" s="2" t="s">
        <v>1286</v>
      </c>
      <c r="B398" s="2" t="s">
        <v>1287</v>
      </c>
      <c r="C398" s="2" t="s">
        <v>1288</v>
      </c>
      <c r="D398" s="1">
        <v>653537.31</v>
      </c>
      <c r="E398" s="2" t="s">
        <v>257</v>
      </c>
      <c r="F398" s="1">
        <v>653537.31</v>
      </c>
      <c r="G398" s="1">
        <v>100.0</v>
      </c>
      <c r="H398" s="2" t="s">
        <v>73</v>
      </c>
      <c r="I398" s="2">
        <v>38.0</v>
      </c>
      <c r="J398" s="1" t="str">
        <f t="shared" si="1"/>
        <v>500k–1M</v>
      </c>
    </row>
    <row r="399">
      <c r="A399" s="2" t="s">
        <v>1289</v>
      </c>
      <c r="B399" s="2" t="s">
        <v>1290</v>
      </c>
      <c r="C399" s="2" t="s">
        <v>1291</v>
      </c>
      <c r="D399" s="1">
        <v>653514.33</v>
      </c>
      <c r="E399" s="2" t="s">
        <v>13</v>
      </c>
      <c r="F399" s="1">
        <v>653514.33</v>
      </c>
      <c r="G399" s="1">
        <v>100.0</v>
      </c>
      <c r="H399" s="2" t="s">
        <v>73</v>
      </c>
      <c r="I399" s="2">
        <v>16.0</v>
      </c>
      <c r="J399" s="1" t="str">
        <f t="shared" si="1"/>
        <v>500k–1M</v>
      </c>
    </row>
    <row r="400">
      <c r="A400" s="2" t="s">
        <v>1292</v>
      </c>
      <c r="B400" s="2" t="s">
        <v>1293</v>
      </c>
      <c r="C400" s="2" t="s">
        <v>1294</v>
      </c>
      <c r="D400" s="1">
        <v>653192.8</v>
      </c>
      <c r="E400" s="2" t="s">
        <v>95</v>
      </c>
      <c r="F400" s="1">
        <v>653192.8</v>
      </c>
      <c r="G400" s="1">
        <v>100.0</v>
      </c>
      <c r="H400" s="2" t="s">
        <v>47</v>
      </c>
      <c r="I400" s="2">
        <v>132.0</v>
      </c>
      <c r="J400" s="1" t="str">
        <f t="shared" si="1"/>
        <v>500k–1M</v>
      </c>
    </row>
    <row r="401">
      <c r="A401" s="2" t="s">
        <v>1295</v>
      </c>
      <c r="B401" s="2" t="s">
        <v>1296</v>
      </c>
      <c r="C401" s="2" t="s">
        <v>1297</v>
      </c>
      <c r="D401" s="1">
        <v>652893.12</v>
      </c>
      <c r="E401" s="2" t="s">
        <v>257</v>
      </c>
      <c r="F401" s="1">
        <v>652893.12</v>
      </c>
      <c r="G401" s="1">
        <v>100.0</v>
      </c>
      <c r="H401" s="2" t="s">
        <v>258</v>
      </c>
      <c r="I401" s="2">
        <v>30.0</v>
      </c>
      <c r="J401" s="1" t="str">
        <f t="shared" si="1"/>
        <v>500k–1M</v>
      </c>
    </row>
    <row r="402">
      <c r="A402" s="2" t="s">
        <v>1298</v>
      </c>
      <c r="B402" s="2" t="s">
        <v>1299</v>
      </c>
      <c r="C402" s="2" t="s">
        <v>1300</v>
      </c>
      <c r="D402" s="1">
        <v>651766.17</v>
      </c>
      <c r="E402" s="2" t="s">
        <v>272</v>
      </c>
      <c r="F402" s="1">
        <v>651693.88</v>
      </c>
      <c r="G402" s="1">
        <v>99.99</v>
      </c>
      <c r="H402" s="2" t="s">
        <v>258</v>
      </c>
      <c r="I402" s="2">
        <v>728.0</v>
      </c>
      <c r="J402" s="1" t="str">
        <f t="shared" si="1"/>
        <v>500k–1M</v>
      </c>
    </row>
    <row r="403">
      <c r="A403" s="2" t="s">
        <v>1301</v>
      </c>
      <c r="B403" s="2" t="s">
        <v>1302</v>
      </c>
      <c r="C403" s="2" t="s">
        <v>1303</v>
      </c>
      <c r="D403" s="1">
        <v>651478.86</v>
      </c>
      <c r="E403" s="2" t="s">
        <v>13</v>
      </c>
      <c r="F403" s="1">
        <v>650481.09</v>
      </c>
      <c r="G403" s="1">
        <v>99.85</v>
      </c>
      <c r="H403" s="2" t="s">
        <v>268</v>
      </c>
      <c r="I403" s="2">
        <v>74.0</v>
      </c>
      <c r="J403" s="1" t="str">
        <f t="shared" si="1"/>
        <v>500k–1M</v>
      </c>
    </row>
    <row r="404">
      <c r="A404" s="2" t="s">
        <v>1304</v>
      </c>
      <c r="B404" s="2" t="s">
        <v>1305</v>
      </c>
      <c r="C404" s="2" t="s">
        <v>1306</v>
      </c>
      <c r="D404" s="1">
        <v>651349.29</v>
      </c>
      <c r="E404" s="2" t="s">
        <v>1307</v>
      </c>
      <c r="F404" s="1">
        <v>413853.57</v>
      </c>
      <c r="G404" s="1">
        <v>63.54</v>
      </c>
      <c r="H404" s="2" t="s">
        <v>258</v>
      </c>
      <c r="I404" s="2">
        <v>24.0</v>
      </c>
      <c r="J404" s="1" t="str">
        <f t="shared" si="1"/>
        <v>100k–500k</v>
      </c>
    </row>
    <row r="405">
      <c r="A405" s="2" t="s">
        <v>1308</v>
      </c>
      <c r="B405" s="2" t="s">
        <v>1309</v>
      </c>
      <c r="C405" s="2" t="s">
        <v>1310</v>
      </c>
      <c r="D405" s="1">
        <v>648738.7</v>
      </c>
      <c r="E405" s="2" t="s">
        <v>13</v>
      </c>
      <c r="F405" s="1">
        <v>641938.81</v>
      </c>
      <c r="G405" s="1">
        <v>98.95</v>
      </c>
      <c r="H405" s="2" t="s">
        <v>77</v>
      </c>
      <c r="I405" s="2">
        <v>100.0</v>
      </c>
      <c r="J405" s="1" t="str">
        <f t="shared" si="1"/>
        <v>500k–1M</v>
      </c>
    </row>
    <row r="406">
      <c r="A406" s="2" t="s">
        <v>1311</v>
      </c>
      <c r="B406" s="2" t="s">
        <v>1312</v>
      </c>
      <c r="C406" s="2" t="s">
        <v>1313</v>
      </c>
      <c r="D406" s="1">
        <v>647773.33</v>
      </c>
      <c r="E406" s="2" t="s">
        <v>257</v>
      </c>
      <c r="F406" s="1">
        <v>647773.33</v>
      </c>
      <c r="G406" s="1">
        <v>100.0</v>
      </c>
      <c r="H406" s="2" t="s">
        <v>258</v>
      </c>
      <c r="I406" s="2">
        <v>20.0</v>
      </c>
      <c r="J406" s="1" t="str">
        <f t="shared" si="1"/>
        <v>500k–1M</v>
      </c>
    </row>
    <row r="407">
      <c r="A407" s="2" t="s">
        <v>1314</v>
      </c>
      <c r="B407" s="2" t="s">
        <v>1315</v>
      </c>
      <c r="C407" s="2" t="s">
        <v>1316</v>
      </c>
      <c r="D407" s="1">
        <v>646084.53</v>
      </c>
      <c r="E407" s="2" t="s">
        <v>379</v>
      </c>
      <c r="F407" s="1">
        <v>315596.85</v>
      </c>
      <c r="G407" s="1">
        <v>48.85</v>
      </c>
      <c r="H407" s="2" t="s">
        <v>380</v>
      </c>
      <c r="I407" s="2">
        <v>38.0</v>
      </c>
      <c r="J407" s="1" t="str">
        <f t="shared" si="1"/>
        <v>100k–500k</v>
      </c>
    </row>
    <row r="408">
      <c r="A408" s="2" t="s">
        <v>1317</v>
      </c>
      <c r="B408" s="2" t="s">
        <v>1318</v>
      </c>
      <c r="C408" s="2" t="s">
        <v>1319</v>
      </c>
      <c r="D408" s="1">
        <v>645423.06</v>
      </c>
      <c r="E408" s="2" t="s">
        <v>272</v>
      </c>
      <c r="F408" s="1">
        <v>636408.27</v>
      </c>
      <c r="G408" s="1">
        <v>98.6</v>
      </c>
      <c r="H408" s="2" t="s">
        <v>258</v>
      </c>
      <c r="I408" s="2">
        <v>220.0</v>
      </c>
      <c r="J408" s="1" t="str">
        <f t="shared" si="1"/>
        <v>500k–1M</v>
      </c>
    </row>
    <row r="409">
      <c r="A409" s="2" t="s">
        <v>1320</v>
      </c>
      <c r="B409" s="2" t="s">
        <v>1321</v>
      </c>
      <c r="C409" s="2" t="s">
        <v>1322</v>
      </c>
      <c r="D409" s="1">
        <v>641695.19</v>
      </c>
      <c r="E409" s="2" t="s">
        <v>509</v>
      </c>
      <c r="F409" s="1">
        <v>641695.19</v>
      </c>
      <c r="G409" s="1">
        <v>100.0</v>
      </c>
      <c r="H409" s="2" t="s">
        <v>96</v>
      </c>
      <c r="I409" s="2">
        <v>45.0</v>
      </c>
      <c r="J409" s="1" t="str">
        <f t="shared" si="1"/>
        <v>500k–1M</v>
      </c>
    </row>
    <row r="410">
      <c r="A410" s="2" t="s">
        <v>1323</v>
      </c>
      <c r="B410" s="2" t="s">
        <v>1324</v>
      </c>
      <c r="C410" s="2" t="s">
        <v>1325</v>
      </c>
      <c r="D410" s="1">
        <v>641141.6</v>
      </c>
      <c r="E410" s="2" t="s">
        <v>509</v>
      </c>
      <c r="F410" s="1">
        <v>641141.6</v>
      </c>
      <c r="G410" s="1">
        <v>100.0</v>
      </c>
      <c r="H410" s="2" t="s">
        <v>73</v>
      </c>
      <c r="I410" s="2">
        <v>47.0</v>
      </c>
      <c r="J410" s="1" t="str">
        <f t="shared" si="1"/>
        <v>500k–1M</v>
      </c>
    </row>
    <row r="411">
      <c r="A411" s="2" t="s">
        <v>1326</v>
      </c>
      <c r="B411" s="2" t="s">
        <v>1327</v>
      </c>
      <c r="C411" s="2" t="s">
        <v>1328</v>
      </c>
      <c r="D411" s="1">
        <v>640260.5</v>
      </c>
      <c r="E411" s="2" t="s">
        <v>235</v>
      </c>
      <c r="F411" s="1">
        <v>640260.5</v>
      </c>
      <c r="G411" s="1">
        <v>100.0</v>
      </c>
      <c r="H411" s="2" t="s">
        <v>73</v>
      </c>
      <c r="I411" s="2">
        <v>12.0</v>
      </c>
      <c r="J411" s="1" t="str">
        <f t="shared" si="1"/>
        <v>500k–1M</v>
      </c>
    </row>
    <row r="412">
      <c r="A412" s="2" t="s">
        <v>1329</v>
      </c>
      <c r="B412" s="2" t="s">
        <v>1330</v>
      </c>
      <c r="C412" s="2" t="s">
        <v>1331</v>
      </c>
      <c r="D412" s="1">
        <v>640176.87</v>
      </c>
      <c r="E412" s="2" t="s">
        <v>156</v>
      </c>
      <c r="F412" s="1">
        <v>634476.87</v>
      </c>
      <c r="G412" s="1">
        <v>99.11</v>
      </c>
      <c r="H412" s="2" t="s">
        <v>96</v>
      </c>
      <c r="I412" s="2">
        <v>140.0</v>
      </c>
      <c r="J412" s="1" t="str">
        <f t="shared" si="1"/>
        <v>500k–1M</v>
      </c>
    </row>
    <row r="413">
      <c r="A413" s="2" t="s">
        <v>1332</v>
      </c>
      <c r="B413" s="2" t="s">
        <v>1333</v>
      </c>
      <c r="C413" s="2" t="s">
        <v>1334</v>
      </c>
      <c r="D413" s="1">
        <v>640049.28</v>
      </c>
      <c r="E413" s="2" t="s">
        <v>1132</v>
      </c>
      <c r="F413" s="1">
        <v>427563.67</v>
      </c>
      <c r="G413" s="1">
        <v>66.8</v>
      </c>
      <c r="H413" s="2" t="s">
        <v>427</v>
      </c>
      <c r="I413" s="2">
        <v>237.0</v>
      </c>
      <c r="J413" s="1" t="str">
        <f t="shared" si="1"/>
        <v>100k–500k</v>
      </c>
    </row>
    <row r="414">
      <c r="A414" s="2" t="s">
        <v>1335</v>
      </c>
      <c r="B414" s="2" t="s">
        <v>1336</v>
      </c>
      <c r="C414" s="2" t="s">
        <v>1337</v>
      </c>
      <c r="D414" s="1">
        <v>638676.45</v>
      </c>
      <c r="E414" s="2" t="s">
        <v>235</v>
      </c>
      <c r="F414" s="1">
        <v>638676.45</v>
      </c>
      <c r="G414" s="1">
        <v>100.0</v>
      </c>
      <c r="H414" s="2" t="s">
        <v>73</v>
      </c>
      <c r="I414" s="2">
        <v>14.0</v>
      </c>
      <c r="J414" s="1" t="str">
        <f t="shared" si="1"/>
        <v>500k–1M</v>
      </c>
    </row>
    <row r="415">
      <c r="A415" s="2" t="s">
        <v>1338</v>
      </c>
      <c r="B415" s="2" t="s">
        <v>1339</v>
      </c>
      <c r="C415" s="2" t="s">
        <v>1340</v>
      </c>
      <c r="D415" s="1">
        <v>638187.73</v>
      </c>
      <c r="E415" s="2" t="s">
        <v>13</v>
      </c>
      <c r="F415" s="1">
        <v>637562.73</v>
      </c>
      <c r="G415" s="1">
        <v>99.9</v>
      </c>
      <c r="H415" s="2" t="s">
        <v>77</v>
      </c>
      <c r="I415" s="2">
        <v>75.0</v>
      </c>
      <c r="J415" s="1" t="str">
        <f t="shared" si="1"/>
        <v>500k–1M</v>
      </c>
    </row>
    <row r="416">
      <c r="A416" s="2" t="s">
        <v>1341</v>
      </c>
      <c r="B416" s="2" t="s">
        <v>1342</v>
      </c>
      <c r="C416" s="2" t="s">
        <v>1343</v>
      </c>
      <c r="D416" s="1">
        <v>637692.16</v>
      </c>
      <c r="E416" s="2" t="s">
        <v>235</v>
      </c>
      <c r="F416" s="1">
        <v>637692.16</v>
      </c>
      <c r="G416" s="1">
        <v>100.0</v>
      </c>
      <c r="H416" s="2" t="s">
        <v>73</v>
      </c>
      <c r="I416" s="2">
        <v>12.0</v>
      </c>
      <c r="J416" s="1" t="str">
        <f t="shared" si="1"/>
        <v>500k–1M</v>
      </c>
    </row>
    <row r="417">
      <c r="A417" s="2" t="s">
        <v>1344</v>
      </c>
      <c r="B417" s="2" t="s">
        <v>1345</v>
      </c>
      <c r="C417" s="2" t="s">
        <v>1346</v>
      </c>
      <c r="D417" s="1">
        <v>637665.08</v>
      </c>
      <c r="E417" s="2" t="s">
        <v>272</v>
      </c>
      <c r="F417" s="1">
        <v>632346.19</v>
      </c>
      <c r="G417" s="1">
        <v>99.17</v>
      </c>
      <c r="H417" s="2" t="s">
        <v>258</v>
      </c>
      <c r="I417" s="2">
        <v>226.0</v>
      </c>
      <c r="J417" s="1" t="str">
        <f t="shared" si="1"/>
        <v>500k–1M</v>
      </c>
    </row>
    <row r="418">
      <c r="A418" s="2" t="s">
        <v>1347</v>
      </c>
      <c r="B418" s="2" t="s">
        <v>1348</v>
      </c>
      <c r="C418" s="2" t="s">
        <v>1349</v>
      </c>
      <c r="D418" s="1">
        <v>635484.67</v>
      </c>
      <c r="E418" s="2" t="s">
        <v>257</v>
      </c>
      <c r="F418" s="1">
        <v>635484.67</v>
      </c>
      <c r="G418" s="1">
        <v>100.0</v>
      </c>
      <c r="H418" s="2" t="s">
        <v>258</v>
      </c>
      <c r="I418" s="2">
        <v>39.0</v>
      </c>
      <c r="J418" s="1" t="str">
        <f t="shared" si="1"/>
        <v>500k–1M</v>
      </c>
    </row>
    <row r="419">
      <c r="A419" s="2" t="s">
        <v>1350</v>
      </c>
      <c r="B419" s="2" t="s">
        <v>1351</v>
      </c>
      <c r="C419" s="2" t="s">
        <v>1352</v>
      </c>
      <c r="D419" s="1">
        <v>634421.94</v>
      </c>
      <c r="E419" s="2" t="s">
        <v>95</v>
      </c>
      <c r="F419" s="1">
        <v>634421.94</v>
      </c>
      <c r="G419" s="1">
        <v>100.0</v>
      </c>
      <c r="H419" s="2" t="s">
        <v>163</v>
      </c>
      <c r="I419" s="2">
        <v>69.0</v>
      </c>
      <c r="J419" s="1" t="str">
        <f t="shared" si="1"/>
        <v>500k–1M</v>
      </c>
    </row>
    <row r="420">
      <c r="A420" s="2" t="s">
        <v>1353</v>
      </c>
      <c r="B420" s="2" t="s">
        <v>1354</v>
      </c>
      <c r="C420" s="2" t="s">
        <v>1355</v>
      </c>
      <c r="D420" s="1">
        <v>632910.93</v>
      </c>
      <c r="E420" s="2" t="s">
        <v>156</v>
      </c>
      <c r="F420" s="1">
        <v>430735.93</v>
      </c>
      <c r="G420" s="1">
        <v>68.06</v>
      </c>
      <c r="H420" s="2" t="s">
        <v>1356</v>
      </c>
      <c r="I420" s="2">
        <v>179.0</v>
      </c>
      <c r="J420" s="1" t="str">
        <f t="shared" si="1"/>
        <v>100k–500k</v>
      </c>
    </row>
    <row r="421">
      <c r="A421" s="2" t="s">
        <v>1357</v>
      </c>
      <c r="B421" s="2" t="s">
        <v>1358</v>
      </c>
      <c r="C421" s="2" t="s">
        <v>1359</v>
      </c>
      <c r="D421" s="1">
        <v>632268.84</v>
      </c>
      <c r="E421" s="2" t="s">
        <v>509</v>
      </c>
      <c r="F421" s="1">
        <v>632268.84</v>
      </c>
      <c r="G421" s="1">
        <v>100.0</v>
      </c>
      <c r="H421" s="2" t="s">
        <v>258</v>
      </c>
      <c r="I421" s="2">
        <v>27.0</v>
      </c>
      <c r="J421" s="1" t="str">
        <f t="shared" si="1"/>
        <v>500k–1M</v>
      </c>
    </row>
    <row r="422">
      <c r="A422" s="2" t="s">
        <v>1360</v>
      </c>
      <c r="B422" s="2" t="s">
        <v>1361</v>
      </c>
      <c r="C422" s="2" t="s">
        <v>1362</v>
      </c>
      <c r="D422" s="1">
        <v>630136.6</v>
      </c>
      <c r="E422" s="2" t="s">
        <v>13</v>
      </c>
      <c r="F422" s="1">
        <v>630136.6</v>
      </c>
      <c r="G422" s="1">
        <v>100.0</v>
      </c>
      <c r="H422" s="2" t="s">
        <v>81</v>
      </c>
      <c r="I422" s="2">
        <v>51.0</v>
      </c>
      <c r="J422" s="1" t="str">
        <f t="shared" si="1"/>
        <v>500k–1M</v>
      </c>
    </row>
    <row r="423">
      <c r="A423" s="2" t="s">
        <v>1363</v>
      </c>
      <c r="B423" s="2" t="s">
        <v>1364</v>
      </c>
      <c r="C423" s="2" t="s">
        <v>1365</v>
      </c>
      <c r="D423" s="1">
        <v>627146.93</v>
      </c>
      <c r="E423" s="2" t="s">
        <v>156</v>
      </c>
      <c r="F423" s="1">
        <v>623296.93</v>
      </c>
      <c r="G423" s="1">
        <v>99.39</v>
      </c>
      <c r="H423" s="2" t="s">
        <v>14</v>
      </c>
      <c r="I423" s="2">
        <v>123.0</v>
      </c>
      <c r="J423" s="1" t="str">
        <f t="shared" si="1"/>
        <v>500k–1M</v>
      </c>
    </row>
    <row r="424">
      <c r="A424" s="2" t="s">
        <v>1366</v>
      </c>
      <c r="B424" s="2" t="s">
        <v>1367</v>
      </c>
      <c r="C424" s="2" t="s">
        <v>1368</v>
      </c>
      <c r="D424" s="1">
        <v>626721.76</v>
      </c>
      <c r="E424" s="2" t="s">
        <v>156</v>
      </c>
      <c r="F424" s="1">
        <v>522015.39</v>
      </c>
      <c r="G424" s="1">
        <v>83.29</v>
      </c>
      <c r="H424" s="2" t="s">
        <v>77</v>
      </c>
      <c r="I424" s="2">
        <v>236.0</v>
      </c>
      <c r="J424" s="1" t="str">
        <f t="shared" si="1"/>
        <v>500k–1M</v>
      </c>
    </row>
    <row r="425">
      <c r="A425" s="2" t="s">
        <v>1369</v>
      </c>
      <c r="B425" s="2" t="s">
        <v>1370</v>
      </c>
      <c r="C425" s="2" t="s">
        <v>1371</v>
      </c>
      <c r="D425" s="1">
        <v>626119.12</v>
      </c>
      <c r="E425" s="2" t="s">
        <v>695</v>
      </c>
      <c r="F425" s="1">
        <v>626119.12</v>
      </c>
      <c r="G425" s="1">
        <v>100.0</v>
      </c>
      <c r="H425" s="2" t="s">
        <v>1106</v>
      </c>
      <c r="I425" s="2">
        <v>113.0</v>
      </c>
      <c r="J425" s="1" t="str">
        <f t="shared" si="1"/>
        <v>500k–1M</v>
      </c>
    </row>
    <row r="426">
      <c r="A426" s="2" t="s">
        <v>1372</v>
      </c>
      <c r="B426" s="2" t="s">
        <v>1373</v>
      </c>
      <c r="C426" s="2" t="s">
        <v>1374</v>
      </c>
      <c r="D426" s="1">
        <v>625229.63</v>
      </c>
      <c r="E426" s="2" t="s">
        <v>509</v>
      </c>
      <c r="F426" s="1">
        <v>625229.63</v>
      </c>
      <c r="G426" s="1">
        <v>100.0</v>
      </c>
      <c r="H426" s="2" t="s">
        <v>73</v>
      </c>
      <c r="I426" s="2">
        <v>50.0</v>
      </c>
      <c r="J426" s="1" t="str">
        <f t="shared" si="1"/>
        <v>500k–1M</v>
      </c>
    </row>
    <row r="427">
      <c r="A427" s="2" t="s">
        <v>1375</v>
      </c>
      <c r="B427" s="2" t="s">
        <v>1376</v>
      </c>
      <c r="C427" s="2" t="s">
        <v>1377</v>
      </c>
      <c r="D427" s="1">
        <v>625065.15</v>
      </c>
      <c r="E427" s="2" t="s">
        <v>156</v>
      </c>
      <c r="F427" s="1">
        <v>578384.06</v>
      </c>
      <c r="G427" s="1">
        <v>92.53</v>
      </c>
      <c r="H427" s="2" t="s">
        <v>91</v>
      </c>
      <c r="I427" s="2">
        <v>169.0</v>
      </c>
      <c r="J427" s="1" t="str">
        <f t="shared" si="1"/>
        <v>500k–1M</v>
      </c>
    </row>
    <row r="428">
      <c r="A428" s="2" t="s">
        <v>1378</v>
      </c>
      <c r="B428" s="2" t="s">
        <v>1379</v>
      </c>
      <c r="C428" s="2" t="s">
        <v>1380</v>
      </c>
      <c r="D428" s="1">
        <v>622638.15</v>
      </c>
      <c r="E428" s="2" t="s">
        <v>95</v>
      </c>
      <c r="F428" s="1">
        <v>622638.15</v>
      </c>
      <c r="G428" s="1">
        <v>100.0</v>
      </c>
      <c r="H428" s="2" t="s">
        <v>96</v>
      </c>
      <c r="I428" s="2">
        <v>144.0</v>
      </c>
      <c r="J428" s="1" t="str">
        <f t="shared" si="1"/>
        <v>500k–1M</v>
      </c>
    </row>
    <row r="429">
      <c r="A429" s="2" t="s">
        <v>1381</v>
      </c>
      <c r="B429" s="2" t="s">
        <v>1382</v>
      </c>
      <c r="C429" s="2" t="s">
        <v>1383</v>
      </c>
      <c r="D429" s="1">
        <v>622473.43</v>
      </c>
      <c r="E429" s="2" t="s">
        <v>1384</v>
      </c>
      <c r="F429" s="1">
        <v>317975.0</v>
      </c>
      <c r="G429" s="1">
        <v>51.08</v>
      </c>
      <c r="H429" s="2" t="s">
        <v>96</v>
      </c>
      <c r="I429" s="2">
        <v>40.0</v>
      </c>
      <c r="J429" s="1" t="str">
        <f t="shared" si="1"/>
        <v>100k–500k</v>
      </c>
    </row>
    <row r="430">
      <c r="A430" s="2" t="s">
        <v>1385</v>
      </c>
      <c r="B430" s="2" t="s">
        <v>1386</v>
      </c>
      <c r="C430" s="2" t="s">
        <v>1387</v>
      </c>
      <c r="D430" s="1">
        <v>621616.63</v>
      </c>
      <c r="E430" s="2" t="s">
        <v>156</v>
      </c>
      <c r="F430" s="1">
        <v>604154.13</v>
      </c>
      <c r="G430" s="1">
        <v>97.19</v>
      </c>
      <c r="H430" s="2" t="s">
        <v>877</v>
      </c>
      <c r="I430" s="2">
        <v>115.0</v>
      </c>
      <c r="J430" s="1" t="str">
        <f t="shared" si="1"/>
        <v>500k–1M</v>
      </c>
    </row>
    <row r="431">
      <c r="A431" s="2" t="s">
        <v>1388</v>
      </c>
      <c r="B431" s="2" t="s">
        <v>1389</v>
      </c>
      <c r="C431" s="2" t="s">
        <v>1390</v>
      </c>
      <c r="D431" s="1">
        <v>620972.51</v>
      </c>
      <c r="E431" s="2" t="s">
        <v>235</v>
      </c>
      <c r="F431" s="1">
        <v>620972.51</v>
      </c>
      <c r="G431" s="1">
        <v>100.0</v>
      </c>
      <c r="H431" s="2" t="s">
        <v>73</v>
      </c>
      <c r="I431" s="2">
        <v>9.0</v>
      </c>
      <c r="J431" s="1" t="str">
        <f t="shared" si="1"/>
        <v>500k–1M</v>
      </c>
    </row>
    <row r="432">
      <c r="A432" s="2" t="s">
        <v>1391</v>
      </c>
      <c r="B432" s="2" t="s">
        <v>1392</v>
      </c>
      <c r="C432" s="2" t="s">
        <v>1393</v>
      </c>
      <c r="D432" s="1">
        <v>619658.35</v>
      </c>
      <c r="E432" s="2" t="s">
        <v>257</v>
      </c>
      <c r="F432" s="1">
        <v>619658.35</v>
      </c>
      <c r="G432" s="1">
        <v>100.0</v>
      </c>
      <c r="H432" s="2" t="s">
        <v>73</v>
      </c>
      <c r="I432" s="2">
        <v>17.0</v>
      </c>
      <c r="J432" s="1" t="str">
        <f t="shared" si="1"/>
        <v>500k–1M</v>
      </c>
    </row>
    <row r="433">
      <c r="A433" s="2" t="s">
        <v>1394</v>
      </c>
      <c r="B433" s="2" t="s">
        <v>1395</v>
      </c>
      <c r="C433" s="2" t="s">
        <v>1396</v>
      </c>
      <c r="D433" s="1">
        <v>619137.79</v>
      </c>
      <c r="E433" s="2" t="s">
        <v>95</v>
      </c>
      <c r="F433" s="1">
        <v>619137.79</v>
      </c>
      <c r="G433" s="1">
        <v>100.0</v>
      </c>
      <c r="H433" s="2" t="s">
        <v>96</v>
      </c>
      <c r="I433" s="2">
        <v>152.0</v>
      </c>
      <c r="J433" s="1" t="str">
        <f t="shared" si="1"/>
        <v>500k–1M</v>
      </c>
    </row>
    <row r="434">
      <c r="A434" s="2" t="s">
        <v>1397</v>
      </c>
      <c r="B434" s="2" t="s">
        <v>1398</v>
      </c>
      <c r="C434" s="2" t="s">
        <v>1399</v>
      </c>
      <c r="D434" s="1">
        <v>617898.35</v>
      </c>
      <c r="E434" s="2" t="s">
        <v>1400</v>
      </c>
      <c r="F434" s="1">
        <v>145954.5</v>
      </c>
      <c r="G434" s="1">
        <v>23.62</v>
      </c>
      <c r="H434" s="2" t="s">
        <v>96</v>
      </c>
      <c r="I434" s="2">
        <v>110.0</v>
      </c>
      <c r="J434" s="1" t="str">
        <f t="shared" si="1"/>
        <v>100k–500k</v>
      </c>
    </row>
    <row r="435">
      <c r="A435" s="2" t="s">
        <v>1401</v>
      </c>
      <c r="B435" s="2" t="s">
        <v>1402</v>
      </c>
      <c r="C435" s="2" t="s">
        <v>1403</v>
      </c>
      <c r="D435" s="1">
        <v>616244.35</v>
      </c>
      <c r="E435" s="2" t="s">
        <v>13</v>
      </c>
      <c r="F435" s="1">
        <v>616244.35</v>
      </c>
      <c r="G435" s="1">
        <v>100.0</v>
      </c>
      <c r="H435" s="2" t="s">
        <v>258</v>
      </c>
      <c r="I435" s="2">
        <v>46.0</v>
      </c>
      <c r="J435" s="1" t="str">
        <f t="shared" si="1"/>
        <v>500k–1M</v>
      </c>
    </row>
    <row r="436">
      <c r="A436" s="2" t="s">
        <v>1404</v>
      </c>
      <c r="B436" s="2" t="s">
        <v>1405</v>
      </c>
      <c r="C436" s="2" t="s">
        <v>1406</v>
      </c>
      <c r="D436" s="1">
        <v>613805.68</v>
      </c>
      <c r="E436" s="2" t="s">
        <v>1407</v>
      </c>
      <c r="F436" s="1">
        <v>253282.95</v>
      </c>
      <c r="G436" s="1">
        <v>41.26</v>
      </c>
      <c r="H436" s="2" t="s">
        <v>380</v>
      </c>
      <c r="I436" s="2">
        <v>111.0</v>
      </c>
      <c r="J436" s="1" t="str">
        <f t="shared" si="1"/>
        <v>100k–500k</v>
      </c>
    </row>
    <row r="437">
      <c r="A437" s="2" t="s">
        <v>1408</v>
      </c>
      <c r="B437" s="2" t="s">
        <v>1409</v>
      </c>
      <c r="C437" s="2" t="s">
        <v>1410</v>
      </c>
      <c r="D437" s="1">
        <v>611364.54</v>
      </c>
      <c r="E437" s="2" t="s">
        <v>13</v>
      </c>
      <c r="F437" s="1">
        <v>611364.54</v>
      </c>
      <c r="G437" s="1">
        <v>100.0</v>
      </c>
      <c r="H437" s="2" t="s">
        <v>1116</v>
      </c>
      <c r="I437" s="2">
        <v>50.0</v>
      </c>
      <c r="J437" s="1" t="str">
        <f t="shared" si="1"/>
        <v>500k–1M</v>
      </c>
    </row>
    <row r="438">
      <c r="A438" s="2" t="s">
        <v>1411</v>
      </c>
      <c r="B438" s="2" t="s">
        <v>1412</v>
      </c>
      <c r="C438" s="2" t="s">
        <v>378</v>
      </c>
      <c r="D438" s="1">
        <v>611125.0</v>
      </c>
      <c r="E438" s="2" t="s">
        <v>95</v>
      </c>
      <c r="F438" s="1">
        <v>611125.0</v>
      </c>
      <c r="G438" s="1">
        <v>100.0</v>
      </c>
      <c r="H438" s="2" t="s">
        <v>1413</v>
      </c>
      <c r="I438" s="2">
        <v>56.0</v>
      </c>
      <c r="J438" s="1" t="str">
        <f t="shared" si="1"/>
        <v>500k–1M</v>
      </c>
    </row>
    <row r="439">
      <c r="A439" s="2" t="s">
        <v>1414</v>
      </c>
      <c r="B439" s="2" t="s">
        <v>1415</v>
      </c>
      <c r="C439" s="2" t="s">
        <v>1416</v>
      </c>
      <c r="D439" s="1">
        <v>610235.02</v>
      </c>
      <c r="E439" s="2" t="s">
        <v>1417</v>
      </c>
      <c r="F439" s="1">
        <v>239500.0</v>
      </c>
      <c r="G439" s="1">
        <v>39.25</v>
      </c>
      <c r="H439" s="2" t="s">
        <v>469</v>
      </c>
      <c r="I439" s="2">
        <v>33.0</v>
      </c>
      <c r="J439" s="1" t="str">
        <f t="shared" si="1"/>
        <v>100k–500k</v>
      </c>
    </row>
    <row r="440">
      <c r="A440" s="2" t="s">
        <v>1418</v>
      </c>
      <c r="B440" s="2" t="s">
        <v>1419</v>
      </c>
      <c r="C440" s="2" t="s">
        <v>378</v>
      </c>
      <c r="D440" s="1">
        <v>608918.88</v>
      </c>
      <c r="E440" s="2" t="s">
        <v>731</v>
      </c>
      <c r="F440" s="1">
        <v>608918.88</v>
      </c>
      <c r="G440" s="1">
        <v>100.0</v>
      </c>
      <c r="H440" s="2" t="s">
        <v>380</v>
      </c>
      <c r="I440" s="2">
        <v>25.0</v>
      </c>
      <c r="J440" s="1" t="str">
        <f t="shared" si="1"/>
        <v>500k–1M</v>
      </c>
    </row>
    <row r="441">
      <c r="A441" s="2" t="s">
        <v>1420</v>
      </c>
      <c r="B441" s="2" t="s">
        <v>1421</v>
      </c>
      <c r="C441" s="2" t="s">
        <v>1422</v>
      </c>
      <c r="D441" s="1">
        <v>608724.32</v>
      </c>
      <c r="E441" s="2" t="s">
        <v>156</v>
      </c>
      <c r="F441" s="1">
        <v>608248.79</v>
      </c>
      <c r="G441" s="1">
        <v>99.92</v>
      </c>
      <c r="H441" s="2" t="s">
        <v>420</v>
      </c>
      <c r="I441" s="2">
        <v>152.0</v>
      </c>
      <c r="J441" s="1" t="str">
        <f t="shared" si="1"/>
        <v>500k–1M</v>
      </c>
    </row>
    <row r="442">
      <c r="A442" s="2" t="s">
        <v>1423</v>
      </c>
      <c r="B442" s="2" t="s">
        <v>1424</v>
      </c>
      <c r="C442" s="2" t="s">
        <v>1425</v>
      </c>
      <c r="D442" s="1">
        <v>608522.71</v>
      </c>
      <c r="E442" s="2" t="s">
        <v>13</v>
      </c>
      <c r="F442" s="1">
        <v>608522.71</v>
      </c>
      <c r="G442" s="1">
        <v>100.0</v>
      </c>
      <c r="H442" s="2" t="s">
        <v>640</v>
      </c>
      <c r="I442" s="2">
        <v>61.0</v>
      </c>
      <c r="J442" s="1" t="str">
        <f t="shared" si="1"/>
        <v>500k–1M</v>
      </c>
    </row>
    <row r="443">
      <c r="A443" s="2" t="s">
        <v>1426</v>
      </c>
      <c r="B443" s="2" t="s">
        <v>1427</v>
      </c>
      <c r="C443" s="2" t="s">
        <v>1428</v>
      </c>
      <c r="D443" s="1">
        <v>606346.53</v>
      </c>
      <c r="E443" s="2" t="s">
        <v>235</v>
      </c>
      <c r="F443" s="1">
        <v>606346.53</v>
      </c>
      <c r="G443" s="1">
        <v>100.0</v>
      </c>
      <c r="H443" s="2" t="s">
        <v>73</v>
      </c>
      <c r="I443" s="2">
        <v>13.0</v>
      </c>
      <c r="J443" s="1" t="str">
        <f t="shared" si="1"/>
        <v>500k–1M</v>
      </c>
    </row>
    <row r="444">
      <c r="A444" s="2" t="s">
        <v>1429</v>
      </c>
      <c r="B444" s="2" t="s">
        <v>1430</v>
      </c>
      <c r="C444" s="2" t="s">
        <v>1431</v>
      </c>
      <c r="D444" s="1">
        <v>605618.93</v>
      </c>
      <c r="E444" s="2" t="s">
        <v>657</v>
      </c>
      <c r="F444" s="1">
        <v>228332.5</v>
      </c>
      <c r="G444" s="1">
        <v>37.7</v>
      </c>
      <c r="H444" s="2" t="s">
        <v>96</v>
      </c>
      <c r="I444" s="2">
        <v>76.0</v>
      </c>
      <c r="J444" s="1" t="str">
        <f t="shared" si="1"/>
        <v>100k–500k</v>
      </c>
    </row>
    <row r="445">
      <c r="A445" s="2" t="s">
        <v>1432</v>
      </c>
      <c r="B445" s="2" t="s">
        <v>1433</v>
      </c>
      <c r="C445" s="2" t="s">
        <v>1434</v>
      </c>
      <c r="D445" s="1">
        <v>605530.18</v>
      </c>
      <c r="E445" s="2" t="s">
        <v>695</v>
      </c>
      <c r="F445" s="1">
        <v>605530.18</v>
      </c>
      <c r="G445" s="1">
        <v>100.0</v>
      </c>
      <c r="H445" s="2" t="s">
        <v>30</v>
      </c>
      <c r="I445" s="2">
        <v>68.0</v>
      </c>
      <c r="J445" s="1" t="str">
        <f t="shared" si="1"/>
        <v>500k–1M</v>
      </c>
    </row>
    <row r="446">
      <c r="A446" s="2" t="s">
        <v>1435</v>
      </c>
      <c r="B446" s="2" t="s">
        <v>1436</v>
      </c>
      <c r="C446" s="2" t="s">
        <v>1437</v>
      </c>
      <c r="D446" s="1">
        <v>604158.99</v>
      </c>
      <c r="E446" s="2" t="s">
        <v>257</v>
      </c>
      <c r="F446" s="1">
        <v>604158.99</v>
      </c>
      <c r="G446" s="1">
        <v>100.0</v>
      </c>
      <c r="H446" s="2" t="s">
        <v>258</v>
      </c>
      <c r="I446" s="2">
        <v>23.0</v>
      </c>
      <c r="J446" s="1" t="str">
        <f t="shared" si="1"/>
        <v>500k–1M</v>
      </c>
    </row>
    <row r="447">
      <c r="A447" s="2" t="s">
        <v>1438</v>
      </c>
      <c r="B447" s="2" t="s">
        <v>1439</v>
      </c>
      <c r="C447" s="2" t="s">
        <v>1440</v>
      </c>
      <c r="D447" s="1">
        <v>601854.15</v>
      </c>
      <c r="E447" s="2" t="s">
        <v>13</v>
      </c>
      <c r="F447" s="1">
        <v>601854.15</v>
      </c>
      <c r="G447" s="1">
        <v>100.0</v>
      </c>
      <c r="H447" s="2" t="s">
        <v>73</v>
      </c>
      <c r="I447" s="2">
        <v>26.0</v>
      </c>
      <c r="J447" s="1" t="str">
        <f t="shared" si="1"/>
        <v>500k–1M</v>
      </c>
    </row>
    <row r="448">
      <c r="A448" s="2" t="s">
        <v>1441</v>
      </c>
      <c r="B448" s="2" t="s">
        <v>1442</v>
      </c>
      <c r="C448" s="2" t="s">
        <v>1443</v>
      </c>
      <c r="D448" s="1">
        <v>601721.4</v>
      </c>
      <c r="E448" s="2" t="s">
        <v>257</v>
      </c>
      <c r="F448" s="1">
        <v>601721.4</v>
      </c>
      <c r="G448" s="1">
        <v>100.0</v>
      </c>
      <c r="H448" s="2" t="s">
        <v>258</v>
      </c>
      <c r="I448" s="2">
        <v>21.0</v>
      </c>
      <c r="J448" s="1" t="str">
        <f t="shared" si="1"/>
        <v>500k–1M</v>
      </c>
    </row>
    <row r="449">
      <c r="A449" s="2" t="s">
        <v>1444</v>
      </c>
      <c r="B449" s="2" t="s">
        <v>1445</v>
      </c>
      <c r="C449" s="2" t="s">
        <v>1446</v>
      </c>
      <c r="D449" s="1">
        <v>598528.98</v>
      </c>
      <c r="E449" s="2" t="s">
        <v>695</v>
      </c>
      <c r="F449" s="1">
        <v>598528.98</v>
      </c>
      <c r="G449" s="1">
        <v>100.0</v>
      </c>
      <c r="H449" s="2" t="s">
        <v>469</v>
      </c>
      <c r="I449" s="2">
        <v>92.0</v>
      </c>
      <c r="J449" s="1" t="str">
        <f t="shared" si="1"/>
        <v>500k–1M</v>
      </c>
    </row>
    <row r="450">
      <c r="A450" s="2" t="s">
        <v>1447</v>
      </c>
      <c r="B450" s="2" t="s">
        <v>1448</v>
      </c>
      <c r="C450" s="2" t="s">
        <v>1449</v>
      </c>
      <c r="D450" s="1">
        <v>597877.06</v>
      </c>
      <c r="E450" s="2" t="s">
        <v>13</v>
      </c>
      <c r="F450" s="1">
        <v>573874.45</v>
      </c>
      <c r="G450" s="1">
        <v>95.99</v>
      </c>
      <c r="H450" s="2" t="s">
        <v>73</v>
      </c>
      <c r="I450" s="2">
        <v>72.0</v>
      </c>
      <c r="J450" s="1" t="str">
        <f t="shared" si="1"/>
        <v>500k–1M</v>
      </c>
    </row>
    <row r="451">
      <c r="A451" s="2" t="s">
        <v>1450</v>
      </c>
      <c r="B451" s="2" t="s">
        <v>1451</v>
      </c>
      <c r="C451" s="2" t="s">
        <v>1452</v>
      </c>
      <c r="D451" s="1">
        <v>597404.53</v>
      </c>
      <c r="E451" s="2" t="s">
        <v>235</v>
      </c>
      <c r="F451" s="1">
        <v>597404.53</v>
      </c>
      <c r="G451" s="1">
        <v>100.0</v>
      </c>
      <c r="H451" s="2" t="s">
        <v>73</v>
      </c>
      <c r="I451" s="2">
        <v>8.0</v>
      </c>
      <c r="J451" s="1" t="str">
        <f t="shared" si="1"/>
        <v>500k–1M</v>
      </c>
    </row>
    <row r="452">
      <c r="A452" s="2" t="s">
        <v>1453</v>
      </c>
      <c r="B452" s="2" t="s">
        <v>1454</v>
      </c>
      <c r="C452" s="2" t="s">
        <v>1455</v>
      </c>
      <c r="D452" s="1">
        <v>596966.58</v>
      </c>
      <c r="E452" s="2" t="s">
        <v>257</v>
      </c>
      <c r="F452" s="1">
        <v>596966.58</v>
      </c>
      <c r="G452" s="1">
        <v>100.0</v>
      </c>
      <c r="H452" s="2" t="s">
        <v>73</v>
      </c>
      <c r="I452" s="2">
        <v>21.0</v>
      </c>
      <c r="J452" s="1" t="str">
        <f t="shared" si="1"/>
        <v>500k–1M</v>
      </c>
    </row>
    <row r="453">
      <c r="A453" s="2" t="s">
        <v>1456</v>
      </c>
      <c r="B453" s="2" t="s">
        <v>1457</v>
      </c>
      <c r="C453" s="2" t="s">
        <v>1458</v>
      </c>
      <c r="D453" s="1">
        <v>595966.66</v>
      </c>
      <c r="E453" s="2" t="s">
        <v>650</v>
      </c>
      <c r="F453" s="1">
        <v>595966.66</v>
      </c>
      <c r="G453" s="1">
        <v>100.0</v>
      </c>
      <c r="H453" s="2" t="s">
        <v>96</v>
      </c>
      <c r="I453" s="2">
        <v>52.0</v>
      </c>
      <c r="J453" s="1" t="str">
        <f t="shared" si="1"/>
        <v>500k–1M</v>
      </c>
    </row>
    <row r="454">
      <c r="A454" s="2" t="s">
        <v>1459</v>
      </c>
      <c r="B454" s="2" t="s">
        <v>1460</v>
      </c>
      <c r="C454" s="2" t="s">
        <v>1461</v>
      </c>
      <c r="D454" s="1">
        <v>594200.0</v>
      </c>
      <c r="E454" s="2" t="s">
        <v>708</v>
      </c>
      <c r="F454" s="1">
        <v>251000.0</v>
      </c>
      <c r="G454" s="1">
        <v>42.24</v>
      </c>
      <c r="H454" s="2" t="s">
        <v>96</v>
      </c>
      <c r="I454" s="2">
        <v>34.0</v>
      </c>
      <c r="J454" s="1" t="str">
        <f t="shared" si="1"/>
        <v>100k–500k</v>
      </c>
    </row>
    <row r="455">
      <c r="A455" s="2" t="s">
        <v>1462</v>
      </c>
      <c r="B455" s="2" t="s">
        <v>1463</v>
      </c>
      <c r="C455" s="2" t="s">
        <v>1464</v>
      </c>
      <c r="D455" s="1">
        <v>592676.77</v>
      </c>
      <c r="E455" s="2" t="s">
        <v>13</v>
      </c>
      <c r="F455" s="1">
        <v>592676.77</v>
      </c>
      <c r="G455" s="1">
        <v>100.0</v>
      </c>
      <c r="H455" s="2" t="s">
        <v>258</v>
      </c>
      <c r="I455" s="2">
        <v>47.0</v>
      </c>
      <c r="J455" s="1" t="str">
        <f t="shared" si="1"/>
        <v>500k–1M</v>
      </c>
    </row>
    <row r="456">
      <c r="A456" s="2" t="s">
        <v>1465</v>
      </c>
      <c r="B456" s="2" t="s">
        <v>1466</v>
      </c>
      <c r="C456" s="2" t="s">
        <v>1467</v>
      </c>
      <c r="D456" s="1">
        <v>592619.22</v>
      </c>
      <c r="E456" s="2" t="s">
        <v>509</v>
      </c>
      <c r="F456" s="1">
        <v>592619.22</v>
      </c>
      <c r="G456" s="1">
        <v>100.0</v>
      </c>
      <c r="H456" s="2" t="s">
        <v>73</v>
      </c>
      <c r="I456" s="2">
        <v>42.0</v>
      </c>
      <c r="J456" s="1" t="str">
        <f t="shared" si="1"/>
        <v>500k–1M</v>
      </c>
    </row>
    <row r="457">
      <c r="A457" s="2" t="s">
        <v>1468</v>
      </c>
      <c r="B457" s="2" t="s">
        <v>1469</v>
      </c>
      <c r="C457" s="2" t="s">
        <v>1470</v>
      </c>
      <c r="D457" s="1">
        <v>592510.78</v>
      </c>
      <c r="E457" s="2" t="s">
        <v>13</v>
      </c>
      <c r="F457" s="1">
        <v>592510.78</v>
      </c>
      <c r="G457" s="1">
        <v>100.0</v>
      </c>
      <c r="H457" s="2" t="s">
        <v>1116</v>
      </c>
      <c r="I457" s="2">
        <v>74.0</v>
      </c>
      <c r="J457" s="1" t="str">
        <f t="shared" si="1"/>
        <v>500k–1M</v>
      </c>
    </row>
    <row r="458">
      <c r="A458" s="2" t="s">
        <v>1471</v>
      </c>
      <c r="B458" s="2" t="s">
        <v>1472</v>
      </c>
      <c r="C458" s="2" t="s">
        <v>1473</v>
      </c>
      <c r="D458" s="1">
        <v>591322.79</v>
      </c>
      <c r="E458" s="2" t="s">
        <v>13</v>
      </c>
      <c r="F458" s="1">
        <v>591322.79</v>
      </c>
      <c r="G458" s="1">
        <v>100.0</v>
      </c>
      <c r="H458" s="2" t="s">
        <v>258</v>
      </c>
      <c r="I458" s="2">
        <v>41.0</v>
      </c>
      <c r="J458" s="1" t="str">
        <f t="shared" si="1"/>
        <v>500k–1M</v>
      </c>
    </row>
    <row r="459">
      <c r="A459" s="2" t="s">
        <v>1474</v>
      </c>
      <c r="B459" s="2" t="s">
        <v>1475</v>
      </c>
      <c r="C459" s="2" t="s">
        <v>1476</v>
      </c>
      <c r="D459" s="1">
        <v>590561.2</v>
      </c>
      <c r="E459" s="2" t="s">
        <v>13</v>
      </c>
      <c r="F459" s="1">
        <v>590561.2</v>
      </c>
      <c r="G459" s="1">
        <v>100.0</v>
      </c>
      <c r="H459" s="2" t="s">
        <v>22</v>
      </c>
      <c r="I459" s="2">
        <v>42.0</v>
      </c>
      <c r="J459" s="1" t="str">
        <f t="shared" si="1"/>
        <v>500k–1M</v>
      </c>
    </row>
    <row r="460">
      <c r="A460" s="2" t="s">
        <v>1477</v>
      </c>
      <c r="B460" s="2" t="s">
        <v>1478</v>
      </c>
      <c r="C460" s="2" t="s">
        <v>1479</v>
      </c>
      <c r="D460" s="1">
        <v>589720.96</v>
      </c>
      <c r="E460" s="2" t="s">
        <v>272</v>
      </c>
      <c r="F460" s="1">
        <v>589644.76</v>
      </c>
      <c r="G460" s="1">
        <v>99.99</v>
      </c>
      <c r="H460" s="2" t="s">
        <v>96</v>
      </c>
      <c r="I460" s="2">
        <v>227.0</v>
      </c>
      <c r="J460" s="1" t="str">
        <f t="shared" si="1"/>
        <v>500k–1M</v>
      </c>
    </row>
    <row r="461">
      <c r="A461" s="2" t="s">
        <v>1480</v>
      </c>
      <c r="B461" s="2" t="s">
        <v>1481</v>
      </c>
      <c r="C461" s="2" t="s">
        <v>1482</v>
      </c>
      <c r="D461" s="1">
        <v>588649.44</v>
      </c>
      <c r="E461" s="2" t="s">
        <v>695</v>
      </c>
      <c r="F461" s="1">
        <v>588649.44</v>
      </c>
      <c r="G461" s="1">
        <v>100.0</v>
      </c>
      <c r="H461" s="2" t="s">
        <v>1106</v>
      </c>
      <c r="I461" s="2">
        <v>87.0</v>
      </c>
      <c r="J461" s="1" t="str">
        <f t="shared" si="1"/>
        <v>500k–1M</v>
      </c>
    </row>
    <row r="462">
      <c r="A462" s="2" t="s">
        <v>1483</v>
      </c>
      <c r="B462" s="4" t="s">
        <v>1484</v>
      </c>
      <c r="C462" s="2" t="s">
        <v>1485</v>
      </c>
      <c r="D462" s="1">
        <v>588115.4</v>
      </c>
      <c r="E462" s="2" t="s">
        <v>257</v>
      </c>
      <c r="F462" s="1">
        <v>588115.4</v>
      </c>
      <c r="G462" s="1">
        <v>100.0</v>
      </c>
      <c r="H462" s="2" t="s">
        <v>73</v>
      </c>
      <c r="I462" s="2">
        <v>23.0</v>
      </c>
      <c r="J462" s="1" t="str">
        <f t="shared" si="1"/>
        <v>500k–1M</v>
      </c>
    </row>
    <row r="463">
      <c r="A463" s="2" t="s">
        <v>1486</v>
      </c>
      <c r="B463" s="2" t="s">
        <v>1487</v>
      </c>
      <c r="C463" s="2" t="s">
        <v>1488</v>
      </c>
      <c r="D463" s="1">
        <v>587341.09</v>
      </c>
      <c r="E463" s="2" t="s">
        <v>387</v>
      </c>
      <c r="F463" s="1">
        <v>587341.09</v>
      </c>
      <c r="G463" s="1">
        <v>100.0</v>
      </c>
      <c r="H463" s="2" t="s">
        <v>73</v>
      </c>
      <c r="I463" s="2">
        <v>13.0</v>
      </c>
      <c r="J463" s="1" t="str">
        <f t="shared" si="1"/>
        <v>500k–1M</v>
      </c>
    </row>
    <row r="464">
      <c r="A464" s="2" t="s">
        <v>1489</v>
      </c>
      <c r="B464" s="2" t="s">
        <v>1490</v>
      </c>
      <c r="C464" s="2" t="s">
        <v>1491</v>
      </c>
      <c r="D464" s="1">
        <v>586016.52</v>
      </c>
      <c r="E464" s="2" t="s">
        <v>13</v>
      </c>
      <c r="F464" s="1">
        <v>586016.52</v>
      </c>
      <c r="G464" s="1">
        <v>100.0</v>
      </c>
      <c r="H464" s="2" t="s">
        <v>182</v>
      </c>
      <c r="I464" s="2">
        <v>71.0</v>
      </c>
      <c r="J464" s="1" t="str">
        <f t="shared" si="1"/>
        <v>500k–1M</v>
      </c>
    </row>
    <row r="465">
      <c r="A465" s="2" t="s">
        <v>1492</v>
      </c>
      <c r="B465" s="2" t="s">
        <v>1493</v>
      </c>
      <c r="C465" s="2" t="s">
        <v>1494</v>
      </c>
      <c r="D465" s="1">
        <v>585736.6</v>
      </c>
      <c r="E465" s="2" t="s">
        <v>257</v>
      </c>
      <c r="F465" s="1">
        <v>585736.6</v>
      </c>
      <c r="G465" s="1">
        <v>100.0</v>
      </c>
      <c r="H465" s="2" t="s">
        <v>1495</v>
      </c>
      <c r="I465" s="2">
        <v>33.0</v>
      </c>
      <c r="J465" s="1" t="str">
        <f t="shared" si="1"/>
        <v>500k–1M</v>
      </c>
    </row>
    <row r="466">
      <c r="A466" s="2" t="s">
        <v>1496</v>
      </c>
      <c r="B466" s="2" t="s">
        <v>1497</v>
      </c>
      <c r="C466" s="2" t="s">
        <v>1498</v>
      </c>
      <c r="D466" s="1">
        <v>585513.45</v>
      </c>
      <c r="E466" s="2" t="s">
        <v>695</v>
      </c>
      <c r="F466" s="1">
        <v>585513.45</v>
      </c>
      <c r="G466" s="1">
        <v>100.0</v>
      </c>
      <c r="H466" s="2" t="s">
        <v>136</v>
      </c>
      <c r="I466" s="2">
        <v>159.0</v>
      </c>
      <c r="J466" s="1" t="str">
        <f t="shared" si="1"/>
        <v>500k–1M</v>
      </c>
    </row>
    <row r="467">
      <c r="A467" s="2" t="s">
        <v>1499</v>
      </c>
      <c r="B467" s="2" t="s">
        <v>1500</v>
      </c>
      <c r="C467" s="2" t="s">
        <v>1501</v>
      </c>
      <c r="D467" s="1">
        <v>585503.21</v>
      </c>
      <c r="E467" s="2" t="s">
        <v>695</v>
      </c>
      <c r="F467" s="1">
        <v>585503.21</v>
      </c>
      <c r="G467" s="1">
        <v>100.0</v>
      </c>
      <c r="H467" s="2" t="s">
        <v>30</v>
      </c>
      <c r="I467" s="2">
        <v>97.0</v>
      </c>
      <c r="J467" s="1" t="str">
        <f t="shared" si="1"/>
        <v>500k–1M</v>
      </c>
    </row>
    <row r="468">
      <c r="A468" s="2" t="s">
        <v>1502</v>
      </c>
      <c r="B468" s="2" t="s">
        <v>1503</v>
      </c>
      <c r="C468" s="2" t="s">
        <v>1504</v>
      </c>
      <c r="D468" s="1">
        <v>585098.46</v>
      </c>
      <c r="E468" s="2" t="s">
        <v>650</v>
      </c>
      <c r="F468" s="1">
        <v>585098.46</v>
      </c>
      <c r="G468" s="1">
        <v>100.0</v>
      </c>
      <c r="H468" s="2" t="s">
        <v>26</v>
      </c>
      <c r="I468" s="2">
        <v>81.0</v>
      </c>
      <c r="J468" s="1" t="str">
        <f t="shared" si="1"/>
        <v>500k–1M</v>
      </c>
    </row>
    <row r="469">
      <c r="A469" s="2" t="s">
        <v>1505</v>
      </c>
      <c r="B469" s="2" t="s">
        <v>1506</v>
      </c>
      <c r="C469" s="2" t="s">
        <v>1507</v>
      </c>
      <c r="D469" s="1">
        <v>584841.68</v>
      </c>
      <c r="E469" s="2" t="s">
        <v>13</v>
      </c>
      <c r="F469" s="1">
        <v>584841.68</v>
      </c>
      <c r="G469" s="1">
        <v>100.0</v>
      </c>
      <c r="H469" s="2" t="s">
        <v>1116</v>
      </c>
      <c r="I469" s="2">
        <v>52.0</v>
      </c>
      <c r="J469" s="1" t="str">
        <f t="shared" si="1"/>
        <v>500k–1M</v>
      </c>
    </row>
    <row r="470">
      <c r="A470" s="2" t="s">
        <v>1508</v>
      </c>
      <c r="B470" s="2" t="s">
        <v>1509</v>
      </c>
      <c r="C470" s="2" t="s">
        <v>1510</v>
      </c>
      <c r="D470" s="1">
        <v>584640.38</v>
      </c>
      <c r="E470" s="2" t="s">
        <v>695</v>
      </c>
      <c r="F470" s="1">
        <v>584580.38</v>
      </c>
      <c r="G470" s="1">
        <v>99.99</v>
      </c>
      <c r="H470" s="2" t="s">
        <v>96</v>
      </c>
      <c r="I470" s="2">
        <v>126.0</v>
      </c>
      <c r="J470" s="1" t="str">
        <f t="shared" si="1"/>
        <v>500k–1M</v>
      </c>
    </row>
    <row r="471">
      <c r="A471" s="2" t="s">
        <v>1511</v>
      </c>
      <c r="B471" s="2" t="s">
        <v>1512</v>
      </c>
      <c r="C471" s="2" t="s">
        <v>378</v>
      </c>
      <c r="D471" s="1">
        <v>584428.18</v>
      </c>
      <c r="E471" s="2" t="s">
        <v>95</v>
      </c>
      <c r="F471" s="1">
        <v>584428.18</v>
      </c>
      <c r="G471" s="1">
        <v>100.0</v>
      </c>
      <c r="H471" s="2" t="s">
        <v>303</v>
      </c>
      <c r="I471" s="2">
        <v>77.0</v>
      </c>
      <c r="J471" s="1" t="str">
        <f t="shared" si="1"/>
        <v>500k–1M</v>
      </c>
    </row>
    <row r="472">
      <c r="A472" s="2" t="s">
        <v>1513</v>
      </c>
      <c r="B472" s="2" t="s">
        <v>1514</v>
      </c>
      <c r="C472" s="2" t="s">
        <v>1515</v>
      </c>
      <c r="D472" s="1">
        <v>583875.0</v>
      </c>
      <c r="E472" s="2" t="s">
        <v>447</v>
      </c>
      <c r="F472" s="1">
        <v>358250.0</v>
      </c>
      <c r="G472" s="1">
        <v>61.36</v>
      </c>
      <c r="H472" s="2" t="s">
        <v>96</v>
      </c>
      <c r="I472" s="2">
        <v>54.0</v>
      </c>
      <c r="J472" s="1" t="str">
        <f t="shared" si="1"/>
        <v>100k–500k</v>
      </c>
    </row>
    <row r="473">
      <c r="A473" s="2" t="s">
        <v>1516</v>
      </c>
      <c r="B473" s="2" t="s">
        <v>1517</v>
      </c>
      <c r="C473" s="2" t="s">
        <v>1518</v>
      </c>
      <c r="D473" s="1">
        <v>583489.51</v>
      </c>
      <c r="E473" s="2" t="s">
        <v>156</v>
      </c>
      <c r="F473" s="1">
        <v>583459.93</v>
      </c>
      <c r="G473" s="1">
        <v>99.99</v>
      </c>
      <c r="H473" s="2" t="s">
        <v>91</v>
      </c>
      <c r="I473" s="2">
        <v>137.0</v>
      </c>
      <c r="J473" s="1" t="str">
        <f t="shared" si="1"/>
        <v>500k–1M</v>
      </c>
    </row>
    <row r="474">
      <c r="A474" s="2" t="s">
        <v>1519</v>
      </c>
      <c r="B474" s="2" t="s">
        <v>1278</v>
      </c>
      <c r="C474" s="2" t="s">
        <v>1520</v>
      </c>
      <c r="D474" s="1">
        <v>582384.84</v>
      </c>
      <c r="E474" s="2" t="s">
        <v>257</v>
      </c>
      <c r="F474" s="1">
        <v>582384.84</v>
      </c>
      <c r="G474" s="1">
        <v>100.0</v>
      </c>
      <c r="H474" s="2" t="s">
        <v>73</v>
      </c>
      <c r="I474" s="2">
        <v>27.0</v>
      </c>
      <c r="J474" s="1" t="str">
        <f t="shared" si="1"/>
        <v>500k–1M</v>
      </c>
    </row>
    <row r="475">
      <c r="A475" s="2" t="s">
        <v>1521</v>
      </c>
      <c r="B475" s="2" t="s">
        <v>1522</v>
      </c>
      <c r="C475" s="2" t="s">
        <v>1523</v>
      </c>
      <c r="D475" s="1">
        <v>582258.72</v>
      </c>
      <c r="E475" s="2" t="s">
        <v>695</v>
      </c>
      <c r="F475" s="1">
        <v>582258.72</v>
      </c>
      <c r="G475" s="1">
        <v>100.0</v>
      </c>
      <c r="H475" s="2" t="s">
        <v>96</v>
      </c>
      <c r="I475" s="2">
        <v>179.0</v>
      </c>
      <c r="J475" s="1" t="str">
        <f t="shared" si="1"/>
        <v>500k–1M</v>
      </c>
    </row>
    <row r="476">
      <c r="A476" s="2" t="s">
        <v>1524</v>
      </c>
      <c r="B476" s="2" t="s">
        <v>1525</v>
      </c>
      <c r="C476" s="2" t="s">
        <v>1526</v>
      </c>
      <c r="D476" s="1">
        <v>581507.86</v>
      </c>
      <c r="E476" s="2" t="s">
        <v>235</v>
      </c>
      <c r="F476" s="1">
        <v>581507.86</v>
      </c>
      <c r="G476" s="1">
        <v>100.0</v>
      </c>
      <c r="H476" s="2" t="s">
        <v>73</v>
      </c>
      <c r="I476" s="2">
        <v>19.0</v>
      </c>
      <c r="J476" s="1" t="str">
        <f t="shared" si="1"/>
        <v>500k–1M</v>
      </c>
    </row>
    <row r="477">
      <c r="A477" s="2" t="s">
        <v>1527</v>
      </c>
      <c r="B477" s="2" t="s">
        <v>1528</v>
      </c>
      <c r="C477" s="2" t="s">
        <v>1529</v>
      </c>
      <c r="D477" s="1">
        <v>580551.22</v>
      </c>
      <c r="E477" s="2" t="s">
        <v>319</v>
      </c>
      <c r="F477" s="1">
        <v>427700.0</v>
      </c>
      <c r="G477" s="1">
        <v>73.67</v>
      </c>
      <c r="H477" s="2" t="s">
        <v>1530</v>
      </c>
      <c r="I477" s="2">
        <v>86.0</v>
      </c>
      <c r="J477" s="1" t="str">
        <f t="shared" si="1"/>
        <v>100k–500k</v>
      </c>
    </row>
    <row r="478">
      <c r="A478" s="2" t="s">
        <v>1531</v>
      </c>
      <c r="B478" s="2" t="s">
        <v>1532</v>
      </c>
      <c r="C478" s="2" t="s">
        <v>1533</v>
      </c>
      <c r="D478" s="1">
        <v>579189.66</v>
      </c>
      <c r="E478" s="2" t="s">
        <v>1534</v>
      </c>
      <c r="F478" s="1">
        <v>523572.99</v>
      </c>
      <c r="G478" s="1">
        <v>90.4</v>
      </c>
      <c r="H478" s="2" t="s">
        <v>420</v>
      </c>
      <c r="I478" s="2">
        <v>95.0</v>
      </c>
      <c r="J478" s="1" t="str">
        <f t="shared" si="1"/>
        <v>500k–1M</v>
      </c>
    </row>
    <row r="479">
      <c r="A479" s="2" t="s">
        <v>1535</v>
      </c>
      <c r="B479" s="2" t="s">
        <v>1536</v>
      </c>
      <c r="C479" s="2" t="s">
        <v>1537</v>
      </c>
      <c r="D479" s="1">
        <v>575459.59</v>
      </c>
      <c r="E479" s="2" t="s">
        <v>257</v>
      </c>
      <c r="F479" s="1">
        <v>575459.59</v>
      </c>
      <c r="G479" s="1">
        <v>100.0</v>
      </c>
      <c r="H479" s="2" t="s">
        <v>491</v>
      </c>
      <c r="I479" s="2">
        <v>36.0</v>
      </c>
      <c r="J479" s="1" t="str">
        <f t="shared" si="1"/>
        <v>500k–1M</v>
      </c>
    </row>
    <row r="480">
      <c r="A480" s="2" t="s">
        <v>1538</v>
      </c>
      <c r="B480" s="2" t="s">
        <v>1539</v>
      </c>
      <c r="C480" s="2" t="s">
        <v>1540</v>
      </c>
      <c r="D480" s="1">
        <v>574373.58</v>
      </c>
      <c r="E480" s="2" t="s">
        <v>13</v>
      </c>
      <c r="F480" s="1">
        <v>574373.58</v>
      </c>
      <c r="G480" s="1">
        <v>100.0</v>
      </c>
      <c r="H480" s="2" t="s">
        <v>73</v>
      </c>
      <c r="I480" s="2">
        <v>58.0</v>
      </c>
      <c r="J480" s="1" t="str">
        <f t="shared" si="1"/>
        <v>500k–1M</v>
      </c>
    </row>
    <row r="481">
      <c r="A481" s="2" t="s">
        <v>1541</v>
      </c>
      <c r="B481" s="2" t="s">
        <v>1542</v>
      </c>
      <c r="C481" s="2" t="s">
        <v>1543</v>
      </c>
      <c r="D481" s="1">
        <v>573689.79</v>
      </c>
      <c r="E481" s="2" t="s">
        <v>1307</v>
      </c>
      <c r="F481" s="1">
        <v>374924.31</v>
      </c>
      <c r="G481" s="1">
        <v>65.35</v>
      </c>
      <c r="H481" s="2" t="s">
        <v>258</v>
      </c>
      <c r="I481" s="2">
        <v>27.0</v>
      </c>
      <c r="J481" s="1" t="str">
        <f t="shared" si="1"/>
        <v>100k–500k</v>
      </c>
    </row>
    <row r="482">
      <c r="A482" s="2" t="s">
        <v>1544</v>
      </c>
      <c r="B482" s="2" t="s">
        <v>1545</v>
      </c>
      <c r="C482" s="2" t="s">
        <v>1546</v>
      </c>
      <c r="D482" s="1">
        <v>572350.18</v>
      </c>
      <c r="E482" s="2" t="s">
        <v>95</v>
      </c>
      <c r="F482" s="1">
        <v>572350.18</v>
      </c>
      <c r="G482" s="1">
        <v>100.0</v>
      </c>
      <c r="H482" s="2" t="s">
        <v>268</v>
      </c>
      <c r="I482" s="2">
        <v>179.0</v>
      </c>
      <c r="J482" s="1" t="str">
        <f t="shared" si="1"/>
        <v>500k–1M</v>
      </c>
    </row>
    <row r="483">
      <c r="A483" s="2" t="s">
        <v>1547</v>
      </c>
      <c r="B483" s="2" t="s">
        <v>1548</v>
      </c>
      <c r="C483" s="2" t="s">
        <v>1549</v>
      </c>
      <c r="D483" s="1">
        <v>571305.19</v>
      </c>
      <c r="E483" s="2" t="s">
        <v>1307</v>
      </c>
      <c r="F483" s="1">
        <v>499876.62</v>
      </c>
      <c r="G483" s="1">
        <v>87.5</v>
      </c>
      <c r="H483" s="2" t="s">
        <v>258</v>
      </c>
      <c r="I483" s="2">
        <v>15.0</v>
      </c>
      <c r="J483" s="1" t="str">
        <f t="shared" si="1"/>
        <v>100k–500k</v>
      </c>
    </row>
    <row r="484">
      <c r="A484" s="2" t="s">
        <v>1550</v>
      </c>
      <c r="B484" s="2" t="s">
        <v>1551</v>
      </c>
      <c r="C484" s="2" t="s">
        <v>1552</v>
      </c>
      <c r="D484" s="1">
        <v>570580.0</v>
      </c>
      <c r="E484" s="2" t="s">
        <v>724</v>
      </c>
      <c r="F484" s="1">
        <v>315000.0</v>
      </c>
      <c r="G484" s="1">
        <v>55.21</v>
      </c>
      <c r="H484" s="2" t="s">
        <v>26</v>
      </c>
      <c r="I484" s="2">
        <v>58.0</v>
      </c>
      <c r="J484" s="1" t="str">
        <f t="shared" si="1"/>
        <v>100k–500k</v>
      </c>
    </row>
    <row r="485">
      <c r="A485" s="2" t="s">
        <v>1553</v>
      </c>
      <c r="B485" s="2" t="s">
        <v>632</v>
      </c>
      <c r="C485" s="2" t="s">
        <v>1554</v>
      </c>
      <c r="D485" s="1">
        <v>567507.34</v>
      </c>
      <c r="E485" s="2" t="s">
        <v>13</v>
      </c>
      <c r="F485" s="1">
        <v>567507.34</v>
      </c>
      <c r="G485" s="1">
        <v>100.0</v>
      </c>
      <c r="H485" s="2" t="s">
        <v>480</v>
      </c>
      <c r="I485" s="2">
        <v>58.0</v>
      </c>
      <c r="J485" s="1" t="str">
        <f t="shared" si="1"/>
        <v>500k–1M</v>
      </c>
    </row>
    <row r="486">
      <c r="A486" s="2" t="s">
        <v>1555</v>
      </c>
      <c r="B486" s="2" t="s">
        <v>1556</v>
      </c>
      <c r="C486" s="2" t="s">
        <v>1557</v>
      </c>
      <c r="D486" s="1">
        <v>567040.77</v>
      </c>
      <c r="E486" s="2" t="s">
        <v>13</v>
      </c>
      <c r="F486" s="1">
        <v>567040.77</v>
      </c>
      <c r="G486" s="1">
        <v>100.0</v>
      </c>
      <c r="H486" s="2" t="s">
        <v>73</v>
      </c>
      <c r="I486" s="2">
        <v>47.0</v>
      </c>
      <c r="J486" s="1" t="str">
        <f t="shared" si="1"/>
        <v>500k–1M</v>
      </c>
    </row>
    <row r="487">
      <c r="A487" s="2" t="s">
        <v>1558</v>
      </c>
      <c r="B487" s="2" t="s">
        <v>1559</v>
      </c>
      <c r="C487" s="2" t="s">
        <v>1560</v>
      </c>
      <c r="D487" s="1">
        <v>566501.37</v>
      </c>
      <c r="E487" s="2" t="s">
        <v>235</v>
      </c>
      <c r="F487" s="1">
        <v>566501.37</v>
      </c>
      <c r="G487" s="1">
        <v>100.0</v>
      </c>
      <c r="H487" s="2" t="s">
        <v>73</v>
      </c>
      <c r="I487" s="2">
        <v>17.0</v>
      </c>
      <c r="J487" s="1" t="str">
        <f t="shared" si="1"/>
        <v>500k–1M</v>
      </c>
    </row>
    <row r="488">
      <c r="A488" s="2" t="s">
        <v>1561</v>
      </c>
      <c r="B488" s="2" t="s">
        <v>1562</v>
      </c>
      <c r="C488" s="2" t="s">
        <v>1563</v>
      </c>
      <c r="D488" s="1">
        <v>566279.99</v>
      </c>
      <c r="E488" s="2" t="s">
        <v>95</v>
      </c>
      <c r="F488" s="1">
        <v>566279.99</v>
      </c>
      <c r="G488" s="1">
        <v>100.0</v>
      </c>
      <c r="H488" s="2" t="s">
        <v>96</v>
      </c>
      <c r="I488" s="2">
        <v>91.0</v>
      </c>
      <c r="J488" s="1" t="str">
        <f t="shared" si="1"/>
        <v>500k–1M</v>
      </c>
    </row>
    <row r="489">
      <c r="A489" s="2" t="s">
        <v>1564</v>
      </c>
      <c r="B489" s="2" t="s">
        <v>1565</v>
      </c>
      <c r="C489" s="2" t="s">
        <v>1566</v>
      </c>
      <c r="D489" s="1">
        <v>562227.09</v>
      </c>
      <c r="E489" s="2" t="s">
        <v>156</v>
      </c>
      <c r="F489" s="1">
        <v>524870.95</v>
      </c>
      <c r="G489" s="1">
        <v>93.36</v>
      </c>
      <c r="H489" s="2" t="s">
        <v>30</v>
      </c>
      <c r="I489" s="2">
        <v>164.0</v>
      </c>
      <c r="J489" s="1" t="str">
        <f t="shared" si="1"/>
        <v>500k–1M</v>
      </c>
    </row>
    <row r="490">
      <c r="A490" s="2" t="s">
        <v>1567</v>
      </c>
      <c r="B490" s="2" t="s">
        <v>1568</v>
      </c>
      <c r="C490" s="2" t="s">
        <v>1569</v>
      </c>
      <c r="D490" s="1">
        <v>562085.9</v>
      </c>
      <c r="E490" s="2" t="s">
        <v>95</v>
      </c>
      <c r="F490" s="1">
        <v>562085.9</v>
      </c>
      <c r="G490" s="1">
        <v>100.0</v>
      </c>
      <c r="H490" s="2" t="s">
        <v>47</v>
      </c>
      <c r="I490" s="2">
        <v>137.0</v>
      </c>
      <c r="J490" s="1" t="str">
        <f t="shared" si="1"/>
        <v>500k–1M</v>
      </c>
    </row>
    <row r="491">
      <c r="A491" s="2" t="s">
        <v>1570</v>
      </c>
      <c r="B491" s="2" t="s">
        <v>1571</v>
      </c>
      <c r="C491" s="2" t="s">
        <v>1572</v>
      </c>
      <c r="D491" s="1">
        <v>560943.99</v>
      </c>
      <c r="E491" s="2" t="s">
        <v>319</v>
      </c>
      <c r="F491" s="1">
        <v>428300.0</v>
      </c>
      <c r="G491" s="1">
        <v>76.35</v>
      </c>
      <c r="H491" s="2" t="s">
        <v>104</v>
      </c>
      <c r="I491" s="2">
        <v>59.0</v>
      </c>
      <c r="J491" s="1" t="str">
        <f t="shared" si="1"/>
        <v>100k–500k</v>
      </c>
    </row>
    <row r="492">
      <c r="A492" s="2" t="s">
        <v>1573</v>
      </c>
      <c r="B492" s="2" t="s">
        <v>1574</v>
      </c>
      <c r="C492" s="2" t="s">
        <v>1575</v>
      </c>
      <c r="D492" s="1">
        <v>560308.75</v>
      </c>
      <c r="E492" s="2" t="s">
        <v>95</v>
      </c>
      <c r="F492" s="1">
        <v>560201.11</v>
      </c>
      <c r="G492" s="1">
        <v>99.98</v>
      </c>
      <c r="H492" s="2" t="s">
        <v>30</v>
      </c>
      <c r="I492" s="2">
        <v>73.0</v>
      </c>
      <c r="J492" s="1" t="str">
        <f t="shared" si="1"/>
        <v>500k–1M</v>
      </c>
    </row>
    <row r="493">
      <c r="A493" s="2" t="s">
        <v>1576</v>
      </c>
      <c r="B493" s="2" t="s">
        <v>1577</v>
      </c>
      <c r="C493" s="2" t="s">
        <v>1578</v>
      </c>
      <c r="D493" s="1">
        <v>559619.65</v>
      </c>
      <c r="E493" s="2" t="s">
        <v>13</v>
      </c>
      <c r="F493" s="1">
        <v>518945.79</v>
      </c>
      <c r="G493" s="1">
        <v>92.73</v>
      </c>
      <c r="H493" s="2" t="s">
        <v>77</v>
      </c>
      <c r="I493" s="2">
        <v>104.0</v>
      </c>
      <c r="J493" s="1" t="str">
        <f t="shared" si="1"/>
        <v>500k–1M</v>
      </c>
    </row>
    <row r="494">
      <c r="A494" s="2" t="s">
        <v>1579</v>
      </c>
      <c r="B494" s="2" t="s">
        <v>1580</v>
      </c>
      <c r="C494" s="2" t="s">
        <v>1581</v>
      </c>
      <c r="D494" s="1">
        <v>559518.75</v>
      </c>
      <c r="E494" s="2" t="s">
        <v>257</v>
      </c>
      <c r="F494" s="1">
        <v>559518.75</v>
      </c>
      <c r="G494" s="1">
        <v>100.0</v>
      </c>
      <c r="H494" s="2" t="s">
        <v>258</v>
      </c>
      <c r="I494" s="2">
        <v>15.0</v>
      </c>
      <c r="J494" s="1" t="str">
        <f t="shared" si="1"/>
        <v>500k–1M</v>
      </c>
    </row>
    <row r="495">
      <c r="A495" s="2" t="s">
        <v>1582</v>
      </c>
      <c r="B495" s="2" t="s">
        <v>1583</v>
      </c>
      <c r="C495" s="2" t="s">
        <v>1584</v>
      </c>
      <c r="D495" s="1">
        <v>558094.68</v>
      </c>
      <c r="E495" s="2" t="s">
        <v>650</v>
      </c>
      <c r="F495" s="1">
        <v>555961.51</v>
      </c>
      <c r="G495" s="1">
        <v>99.62</v>
      </c>
      <c r="H495" s="2" t="s">
        <v>77</v>
      </c>
      <c r="I495" s="2">
        <v>58.0</v>
      </c>
      <c r="J495" s="1" t="str">
        <f t="shared" si="1"/>
        <v>500k–1M</v>
      </c>
    </row>
    <row r="496">
      <c r="A496" s="2" t="s">
        <v>1585</v>
      </c>
      <c r="B496" s="2" t="s">
        <v>1586</v>
      </c>
      <c r="C496" s="2" t="s">
        <v>1587</v>
      </c>
      <c r="D496" s="1">
        <v>557849.05</v>
      </c>
      <c r="E496" s="2" t="s">
        <v>235</v>
      </c>
      <c r="F496" s="1">
        <v>557849.05</v>
      </c>
      <c r="G496" s="1">
        <v>100.0</v>
      </c>
      <c r="H496" s="2" t="s">
        <v>73</v>
      </c>
      <c r="I496" s="2">
        <v>16.0</v>
      </c>
      <c r="J496" s="1" t="str">
        <f t="shared" si="1"/>
        <v>500k–1M</v>
      </c>
    </row>
    <row r="497">
      <c r="A497" s="2" t="s">
        <v>1588</v>
      </c>
      <c r="B497" s="2" t="s">
        <v>1589</v>
      </c>
      <c r="C497" s="2" t="s">
        <v>1590</v>
      </c>
      <c r="D497" s="1">
        <v>555499.59</v>
      </c>
      <c r="E497" s="2" t="s">
        <v>657</v>
      </c>
      <c r="F497" s="1">
        <v>232707.5</v>
      </c>
      <c r="G497" s="1">
        <v>41.89</v>
      </c>
      <c r="H497" s="2" t="s">
        <v>96</v>
      </c>
      <c r="I497" s="2">
        <v>78.0</v>
      </c>
      <c r="J497" s="1" t="str">
        <f t="shared" si="1"/>
        <v>100k–500k</v>
      </c>
    </row>
    <row r="498">
      <c r="A498" s="2" t="s">
        <v>1591</v>
      </c>
      <c r="B498" s="2" t="s">
        <v>1592</v>
      </c>
      <c r="C498" s="2" t="s">
        <v>1593</v>
      </c>
      <c r="D498" s="1">
        <v>553869.6</v>
      </c>
      <c r="E498" s="2" t="s">
        <v>257</v>
      </c>
      <c r="F498" s="1">
        <v>553869.6</v>
      </c>
      <c r="G498" s="1">
        <v>100.0</v>
      </c>
      <c r="H498" s="2" t="s">
        <v>73</v>
      </c>
      <c r="I498" s="2">
        <v>44.0</v>
      </c>
      <c r="J498" s="1" t="str">
        <f t="shared" si="1"/>
        <v>500k–1M</v>
      </c>
    </row>
    <row r="499">
      <c r="A499" s="2" t="s">
        <v>1594</v>
      </c>
      <c r="B499" s="2" t="s">
        <v>1595</v>
      </c>
      <c r="C499" s="2" t="s">
        <v>1596</v>
      </c>
      <c r="D499" s="1">
        <v>553454.41</v>
      </c>
      <c r="E499" s="2" t="s">
        <v>257</v>
      </c>
      <c r="F499" s="1">
        <v>553454.41</v>
      </c>
      <c r="G499" s="1">
        <v>100.0</v>
      </c>
      <c r="H499" s="2" t="s">
        <v>258</v>
      </c>
      <c r="I499" s="2">
        <v>39.0</v>
      </c>
      <c r="J499" s="1" t="str">
        <f t="shared" si="1"/>
        <v>500k–1M</v>
      </c>
    </row>
    <row r="500">
      <c r="A500" s="2" t="s">
        <v>1597</v>
      </c>
      <c r="B500" s="2" t="s">
        <v>1598</v>
      </c>
      <c r="C500" s="2" t="s">
        <v>1599</v>
      </c>
      <c r="D500" s="1">
        <v>553226.34</v>
      </c>
      <c r="E500" s="2" t="s">
        <v>156</v>
      </c>
      <c r="F500" s="1">
        <v>542076.34</v>
      </c>
      <c r="G500" s="1">
        <v>97.98</v>
      </c>
      <c r="H500" s="2" t="s">
        <v>22</v>
      </c>
      <c r="I500" s="2">
        <v>71.0</v>
      </c>
      <c r="J500" s="1" t="str">
        <f t="shared" si="1"/>
        <v>500k–1M</v>
      </c>
    </row>
    <row r="501">
      <c r="A501" s="2" t="s">
        <v>1600</v>
      </c>
      <c r="B501" s="2" t="s">
        <v>1601</v>
      </c>
      <c r="C501" s="2" t="s">
        <v>1602</v>
      </c>
      <c r="D501" s="1">
        <v>551231.84</v>
      </c>
      <c r="E501" s="2" t="s">
        <v>748</v>
      </c>
      <c r="F501" s="1">
        <v>551231.84</v>
      </c>
      <c r="G501" s="1">
        <v>100.0</v>
      </c>
      <c r="H501" s="2" t="s">
        <v>73</v>
      </c>
      <c r="I501" s="2">
        <v>33.0</v>
      </c>
      <c r="J501" s="1" t="str">
        <f t="shared" si="1"/>
        <v>500k–1M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6.38"/>
    <col customWidth="1" min="4" max="4" width="16.0"/>
    <col customWidth="1" min="5" max="5" width="19.25"/>
    <col customWidth="1" min="6" max="6" width="36.38"/>
    <col customWidth="1" min="7" max="7" width="32.38"/>
    <col customWidth="1" min="8" max="8" width="16.0"/>
  </cols>
  <sheetData>
    <row r="1">
      <c r="A1" s="5"/>
      <c r="B1" s="3" t="s">
        <v>1603</v>
      </c>
      <c r="C1" s="3" t="s">
        <v>1604</v>
      </c>
      <c r="D1" s="3" t="s">
        <v>1605</v>
      </c>
      <c r="E1" s="3" t="s">
        <v>8</v>
      </c>
      <c r="F1" s="3" t="s">
        <v>1606</v>
      </c>
      <c r="G1" s="3" t="s">
        <v>1607</v>
      </c>
    </row>
    <row r="2">
      <c r="A2" s="6" t="s">
        <v>10</v>
      </c>
      <c r="B2" s="3" t="s">
        <v>13</v>
      </c>
      <c r="C2" s="1">
        <v>3.7739678496E8</v>
      </c>
      <c r="D2" s="3">
        <v>5069.0</v>
      </c>
      <c r="E2" s="3">
        <v>1984.0</v>
      </c>
      <c r="F2" s="1">
        <f t="shared" ref="F2:F21" si="1">C2/D2</f>
        <v>74451.92049</v>
      </c>
      <c r="G2" s="1">
        <f t="shared" ref="G2:G21" si="2">C2/E2</f>
        <v>190220.1537</v>
      </c>
    </row>
    <row r="3">
      <c r="A3" s="6" t="s">
        <v>15</v>
      </c>
      <c r="B3" s="3" t="s">
        <v>95</v>
      </c>
      <c r="C3" s="1">
        <v>2.028921089E8</v>
      </c>
      <c r="D3" s="3">
        <v>10952.0</v>
      </c>
      <c r="E3" s="3">
        <v>2575.0</v>
      </c>
      <c r="F3" s="1">
        <f t="shared" si="1"/>
        <v>18525.57605</v>
      </c>
      <c r="G3" s="1">
        <f t="shared" si="2"/>
        <v>78793.052</v>
      </c>
    </row>
    <row r="4">
      <c r="A4" s="6" t="s">
        <v>19</v>
      </c>
      <c r="B4" s="3" t="s">
        <v>156</v>
      </c>
      <c r="C4" s="1">
        <v>1.6275724636E8</v>
      </c>
      <c r="D4" s="3">
        <v>16571.0</v>
      </c>
      <c r="E4" s="3">
        <v>7100.0</v>
      </c>
      <c r="F4" s="1">
        <f t="shared" si="1"/>
        <v>9821.811982</v>
      </c>
      <c r="G4" s="1">
        <f t="shared" si="2"/>
        <v>22923.55583</v>
      </c>
    </row>
    <row r="5">
      <c r="A5" s="6" t="s">
        <v>23</v>
      </c>
      <c r="B5" s="3" t="s">
        <v>257</v>
      </c>
      <c r="C5" s="1">
        <v>1.2195306843E8</v>
      </c>
      <c r="D5" s="3">
        <v>9680.0</v>
      </c>
      <c r="E5" s="3">
        <v>3034.0</v>
      </c>
      <c r="F5" s="1">
        <f t="shared" si="1"/>
        <v>12598.45748</v>
      </c>
      <c r="G5" s="1">
        <f t="shared" si="2"/>
        <v>40195.4741</v>
      </c>
    </row>
    <row r="6">
      <c r="A6" s="6" t="s">
        <v>27</v>
      </c>
      <c r="B6" s="3" t="s">
        <v>235</v>
      </c>
      <c r="C6" s="1">
        <v>1.1151125736E8</v>
      </c>
      <c r="D6" s="3">
        <v>2291.0</v>
      </c>
      <c r="E6" s="3">
        <v>183.0</v>
      </c>
      <c r="F6" s="1">
        <f t="shared" si="1"/>
        <v>48673.61735</v>
      </c>
      <c r="G6" s="1">
        <f t="shared" si="2"/>
        <v>609351.1331</v>
      </c>
    </row>
    <row r="7">
      <c r="A7" s="6" t="s">
        <v>31</v>
      </c>
      <c r="B7" s="7" t="s">
        <v>387</v>
      </c>
      <c r="C7" s="1">
        <v>8.978512222E7</v>
      </c>
      <c r="D7" s="3">
        <v>4312.0</v>
      </c>
      <c r="E7" s="3">
        <v>344.0</v>
      </c>
      <c r="F7" s="1">
        <f t="shared" si="1"/>
        <v>20822.15265</v>
      </c>
      <c r="G7" s="1">
        <f t="shared" si="2"/>
        <v>261003.2623</v>
      </c>
    </row>
    <row r="8">
      <c r="A8" s="6" t="s">
        <v>35</v>
      </c>
      <c r="B8" s="3" t="s">
        <v>509</v>
      </c>
      <c r="C8" s="1">
        <v>6.703770791E7</v>
      </c>
      <c r="D8" s="3">
        <v>4017.0</v>
      </c>
      <c r="E8" s="3">
        <v>642.0</v>
      </c>
      <c r="F8" s="1">
        <f t="shared" si="1"/>
        <v>16688.50085</v>
      </c>
      <c r="G8" s="1">
        <f t="shared" si="2"/>
        <v>104420.1058</v>
      </c>
    </row>
    <row r="9">
      <c r="A9" s="6" t="s">
        <v>38</v>
      </c>
      <c r="B9" s="3" t="s">
        <v>695</v>
      </c>
      <c r="C9" s="1">
        <v>5.358568056E7</v>
      </c>
      <c r="D9" s="3">
        <v>9593.0</v>
      </c>
      <c r="E9" s="3">
        <v>5262.0</v>
      </c>
      <c r="F9" s="1">
        <f t="shared" si="1"/>
        <v>5585.914788</v>
      </c>
      <c r="G9" s="1">
        <f t="shared" si="2"/>
        <v>10183.51968</v>
      </c>
    </row>
    <row r="10">
      <c r="A10" s="6" t="s">
        <v>41</v>
      </c>
      <c r="B10" s="3" t="s">
        <v>976</v>
      </c>
      <c r="C10" s="1">
        <v>4.988525294E7</v>
      </c>
      <c r="D10" s="3">
        <v>3084.0</v>
      </c>
      <c r="E10" s="3">
        <v>573.0</v>
      </c>
      <c r="F10" s="1">
        <f t="shared" si="1"/>
        <v>16175.50355</v>
      </c>
      <c r="G10" s="1">
        <f t="shared" si="2"/>
        <v>87059.77825</v>
      </c>
    </row>
    <row r="11">
      <c r="A11" s="6" t="s">
        <v>44</v>
      </c>
      <c r="B11" s="3" t="s">
        <v>272</v>
      </c>
      <c r="C11" s="3">
        <v>4.345186617E7</v>
      </c>
      <c r="D11" s="3">
        <v>2280.0</v>
      </c>
      <c r="E11" s="3">
        <v>7535.0</v>
      </c>
      <c r="F11" s="1">
        <f t="shared" si="1"/>
        <v>19057.83604</v>
      </c>
      <c r="G11" s="1">
        <f t="shared" si="2"/>
        <v>5766.671025</v>
      </c>
    </row>
    <row r="12">
      <c r="A12" s="6" t="s">
        <v>48</v>
      </c>
      <c r="B12" s="3" t="s">
        <v>319</v>
      </c>
      <c r="C12" s="1">
        <v>4.099414744E7</v>
      </c>
      <c r="D12" s="3">
        <v>4682.0</v>
      </c>
      <c r="E12" s="3">
        <v>840.0</v>
      </c>
      <c r="F12" s="1">
        <f t="shared" si="1"/>
        <v>8755.691465</v>
      </c>
      <c r="G12" s="1">
        <f t="shared" si="2"/>
        <v>48802.55648</v>
      </c>
    </row>
    <row r="13">
      <c r="A13" s="6" t="s">
        <v>52</v>
      </c>
      <c r="B13" s="3" t="s">
        <v>1307</v>
      </c>
      <c r="C13" s="1">
        <v>3.527441238E7</v>
      </c>
      <c r="D13" s="3">
        <v>4047.0</v>
      </c>
      <c r="E13" s="3">
        <v>848.0</v>
      </c>
      <c r="F13" s="1">
        <f t="shared" si="1"/>
        <v>8716.187887</v>
      </c>
      <c r="G13" s="1">
        <f t="shared" si="2"/>
        <v>41597.18441</v>
      </c>
    </row>
    <row r="14">
      <c r="A14" s="6" t="s">
        <v>55</v>
      </c>
      <c r="B14" s="3" t="s">
        <v>1608</v>
      </c>
      <c r="C14" s="1">
        <v>3.461210535E7</v>
      </c>
      <c r="D14" s="3">
        <v>7504.0</v>
      </c>
      <c r="E14" s="3">
        <v>1331.0</v>
      </c>
      <c r="F14" s="1">
        <f t="shared" si="1"/>
        <v>4612.487387</v>
      </c>
      <c r="G14" s="1">
        <f t="shared" si="2"/>
        <v>26004.58704</v>
      </c>
    </row>
    <row r="15">
      <c r="A15" s="6" t="s">
        <v>59</v>
      </c>
      <c r="B15" s="3" t="s">
        <v>650</v>
      </c>
      <c r="C15" s="1">
        <v>3.180323701E7</v>
      </c>
      <c r="D15" s="3">
        <v>2386.0</v>
      </c>
      <c r="E15" s="3">
        <v>740.0</v>
      </c>
      <c r="F15" s="1">
        <f t="shared" si="1"/>
        <v>13329.10185</v>
      </c>
      <c r="G15" s="1">
        <f t="shared" si="2"/>
        <v>42977.34731</v>
      </c>
    </row>
    <row r="16">
      <c r="A16" s="6" t="s">
        <v>62</v>
      </c>
      <c r="B16" s="3" t="s">
        <v>1534</v>
      </c>
      <c r="C16" s="1">
        <v>3.123168348E7</v>
      </c>
      <c r="D16" s="3">
        <v>3173.0</v>
      </c>
      <c r="E16" s="3">
        <v>1174.0</v>
      </c>
      <c r="F16" s="1">
        <f t="shared" si="1"/>
        <v>9842.950986</v>
      </c>
      <c r="G16" s="1">
        <f t="shared" si="2"/>
        <v>26602.79683</v>
      </c>
    </row>
    <row r="17">
      <c r="A17" s="6" t="s">
        <v>66</v>
      </c>
      <c r="B17" s="3" t="s">
        <v>748</v>
      </c>
      <c r="C17" s="1">
        <v>3.082435796E7</v>
      </c>
      <c r="D17" s="3">
        <v>1156.0</v>
      </c>
      <c r="E17" s="3">
        <v>416.0</v>
      </c>
      <c r="F17" s="1">
        <f t="shared" si="1"/>
        <v>26664.66952</v>
      </c>
      <c r="G17" s="1">
        <f t="shared" si="2"/>
        <v>74097.01433</v>
      </c>
    </row>
    <row r="18">
      <c r="A18" s="6" t="s">
        <v>70</v>
      </c>
      <c r="B18" s="3" t="s">
        <v>1609</v>
      </c>
      <c r="C18" s="3">
        <v>2.151945187E7</v>
      </c>
      <c r="D18" s="3">
        <v>2344.0</v>
      </c>
      <c r="E18" s="3">
        <v>158.0</v>
      </c>
      <c r="F18" s="1">
        <f t="shared" si="1"/>
        <v>9180.653528</v>
      </c>
      <c r="G18" s="1">
        <f t="shared" si="2"/>
        <v>136199.0625</v>
      </c>
    </row>
    <row r="19">
      <c r="A19" s="6" t="s">
        <v>74</v>
      </c>
      <c r="B19" s="3" t="s">
        <v>1610</v>
      </c>
      <c r="C19" s="1">
        <v>2.013599214E7</v>
      </c>
      <c r="D19" s="3">
        <v>1753.0</v>
      </c>
      <c r="E19" s="3">
        <v>97.0</v>
      </c>
      <c r="F19" s="1">
        <f t="shared" si="1"/>
        <v>11486.58993</v>
      </c>
      <c r="G19" s="1">
        <f t="shared" si="2"/>
        <v>207587.5478</v>
      </c>
    </row>
    <row r="20">
      <c r="A20" s="6" t="s">
        <v>78</v>
      </c>
      <c r="B20" s="3" t="s">
        <v>1611</v>
      </c>
      <c r="C20" s="1">
        <v>1.844671938E7</v>
      </c>
      <c r="D20" s="3">
        <v>1335.0</v>
      </c>
      <c r="E20" s="3">
        <v>507.0</v>
      </c>
      <c r="F20" s="1">
        <f t="shared" si="1"/>
        <v>13817.76733</v>
      </c>
      <c r="G20" s="1">
        <f t="shared" si="2"/>
        <v>36384.06189</v>
      </c>
    </row>
    <row r="21">
      <c r="A21" s="6" t="s">
        <v>82</v>
      </c>
      <c r="B21" s="3" t="s">
        <v>1132</v>
      </c>
      <c r="C21" s="1">
        <v>1.385480995E7</v>
      </c>
      <c r="D21" s="3">
        <v>1287.0</v>
      </c>
      <c r="E21" s="3">
        <v>407.0</v>
      </c>
      <c r="F21" s="1">
        <f t="shared" si="1"/>
        <v>10765.1981</v>
      </c>
      <c r="G21" s="1">
        <f t="shared" si="2"/>
        <v>34041.30209</v>
      </c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hyperlinks>
    <hyperlink r:id="rId2" ref="A2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</cols>
  <sheetData>
    <row r="1">
      <c r="A1" s="3" t="s">
        <v>1618</v>
      </c>
      <c r="B1" s="1">
        <f>AVERAGE('Топ игроков'!F2:F501)</f>
        <v>1159217.33</v>
      </c>
    </row>
    <row r="2">
      <c r="A2" s="3" t="s">
        <v>1619</v>
      </c>
      <c r="B2" s="1">
        <f>MEDIAN('Топ игроков'!F2:F501)</f>
        <v>802094</v>
      </c>
    </row>
    <row r="3">
      <c r="A3" s="3" t="s">
        <v>1620</v>
      </c>
      <c r="B3" s="1">
        <f>SUM('Топ игроков'!F2:F501)</f>
        <v>579608665</v>
      </c>
    </row>
    <row r="4">
      <c r="A4" s="3" t="s">
        <v>1621</v>
      </c>
      <c r="B4" s="1">
        <f>SUM('Топ игроков'!F2:F11)</f>
        <v>60551894.59</v>
      </c>
    </row>
    <row r="5">
      <c r="A5" s="3" t="s">
        <v>1622</v>
      </c>
      <c r="B5" s="1">
        <f>SUM('Топ игроков'!F2:F11) / SUM('Топ игроков'!F2:F501)</f>
        <v>0.104470306</v>
      </c>
    </row>
    <row r="6">
      <c r="A6" s="3" t="s">
        <v>1623</v>
      </c>
      <c r="B6" s="1">
        <f>SUM('Топ игроков'!F2:F101) / SUM('Топ игроков'!F2:F501)</f>
        <v>0.4676931391</v>
      </c>
    </row>
    <row r="7">
      <c r="A7" s="3" t="s">
        <v>1624</v>
      </c>
      <c r="B7" s="1">
        <f>COUNTIF('Топ игроков'!J:J,"5M+")</f>
        <v>10</v>
      </c>
    </row>
    <row r="8">
      <c r="A8" s="3" t="s">
        <v>1625</v>
      </c>
      <c r="B8" s="1">
        <f>COUNTIF('Топ игроков'!J:J,"1M–5M")</f>
        <v>172</v>
      </c>
    </row>
    <row r="9">
      <c r="A9" s="3" t="s">
        <v>1626</v>
      </c>
      <c r="B9" s="1">
        <f>COUNTIF('Топ игроков'!J:J,"500k–1M")</f>
        <v>256</v>
      </c>
    </row>
    <row r="10">
      <c r="A10" s="3" t="s">
        <v>1627</v>
      </c>
      <c r="B10" s="1">
        <f>COUNTIF('Топ игроков'!J:J,"100k–500k")</f>
        <v>62</v>
      </c>
    </row>
    <row r="11">
      <c r="A11" s="10"/>
    </row>
  </sheetData>
  <drawing r:id="rId1"/>
</worksheet>
</file>